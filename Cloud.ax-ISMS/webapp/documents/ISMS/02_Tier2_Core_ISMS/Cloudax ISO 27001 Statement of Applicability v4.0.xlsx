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oA" sheetId="2" state="visible" r:id="rId4"/>
    <sheet name="Document Library" sheetId="3" state="visible" r:id="rId5"/>
  </sheets>
  <definedNames>
    <definedName function="false" hidden="true" localSheetId="1" name="_xlnm._FilterDatabase" vbProcedure="false">SoA!$B$6:$K$103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<sst xmlns="http://schemas.openxmlformats.org/spreadsheetml/2006/main" count="1104" uniqueCount="592">
  <si>
    <t xml:space="preserve">Statement of Applicability — ISMS-SOA-001</t>
  </si>
  <si>
    <t xml:space="preserve">Cloudax Ltd  •  ISO/IEC 27001:2022 Annex A  •  Version 4.0</t>
  </si>
  <si>
    <t xml:space="preserve">This workbook is the supporting working format for the Statement of Applicability. The controlled, signed-off version of this document is held in Word format (ISMS-SOA-001 v4.0.docx). This workbook is used for ISMS operational maintenance — owner assignment, document referencing, review cadence and risk-linkage tracking — between formal revisions.</t>
  </si>
  <si>
    <t xml:space="preserve">Document Control</t>
  </si>
  <si>
    <t xml:space="preserve">Document Title</t>
  </si>
  <si>
    <t xml:space="preserve">Statement of Applicability</t>
  </si>
  <si>
    <t xml:space="preserve">Document Reference</t>
  </si>
  <si>
    <t xml:space="preserve">ISMS-SOA-001</t>
  </si>
  <si>
    <t xml:space="preserve">Version</t>
  </si>
  <si>
    <t xml:space="preserve">4.0</t>
  </si>
  <si>
    <t xml:space="preserve">Status</t>
  </si>
  <si>
    <t xml:space="preserve">Draft</t>
  </si>
  <si>
    <t xml:space="preserve">Classification</t>
  </si>
  <si>
    <t xml:space="preserve">Internal</t>
  </si>
  <si>
    <t xml:space="preserve">Issue Date</t>
  </si>
  <si>
    <t xml:space="preserve">28 April 2026</t>
  </si>
  <si>
    <t xml:space="preserve">Next Review Date</t>
  </si>
  <si>
    <t xml:space="preserve">28 April 2027</t>
  </si>
  <si>
    <t xml:space="preserve">Document Owner</t>
  </si>
  <si>
    <t xml:space="preserve">Information Security Manager</t>
  </si>
  <si>
    <t xml:space="preserve">Approver</t>
  </si>
  <si>
    <t xml:space="preserve">Senior Management / ISMS Steering Group</t>
  </si>
  <si>
    <t xml:space="preserve">Standard</t>
  </si>
  <si>
    <t xml:space="preserve">ISO/IEC 27001:2022 — Annex A (93 controls)</t>
  </si>
  <si>
    <t xml:space="preserve">Organisation</t>
  </si>
  <si>
    <t xml:space="preserve">Cloudax Ltd  •  Companies House 14717183</t>
  </si>
  <si>
    <t xml:space="preserve">Registered Office</t>
  </si>
  <si>
    <t xml:space="preserve">167-169 Great Portland Street, Fifth Floor, London, W1W 5PF</t>
  </si>
  <si>
    <t xml:space="preserve">ISMS Scope</t>
  </si>
  <si>
    <t xml:space="preserve">The design, development, hosting, operation and support of the Cloudax Connect conversational AI platform — including inbound triage, outbound campaign and virtual receptionist services — delivered to enterprise customers from cloud-hosted infrastructure (AWS / Azure / GCP) by Cloudax personnel operating remotely from the United Kingdom. Excludes legacy marketing-agency services where these are not part of Cloudax Connect.</t>
  </si>
  <si>
    <t xml:space="preserve">Status Summary</t>
  </si>
  <si>
    <t xml:space="preserve">Metric</t>
  </si>
  <si>
    <t xml:space="preserve">Count</t>
  </si>
  <si>
    <t xml:space="preserve">Total Annex A controls</t>
  </si>
  <si>
    <t xml:space="preserve">Applicable controls</t>
  </si>
  <si>
    <t xml:space="preserve">Excluded controls</t>
  </si>
  <si>
    <t xml:space="preserve">Status: Implemented</t>
  </si>
  <si>
    <t xml:space="preserve">Status: Partially Implemented</t>
  </si>
  <si>
    <t xml:space="preserve">Status: Planned</t>
  </si>
  <si>
    <t xml:space="preserve">Status: Not Implemented</t>
  </si>
  <si>
    <t xml:space="preserve">Cloudax Ltd  •  ISMS-SOA-001 v4.0  •  Issued 28 April 2026</t>
  </si>
  <si>
    <t xml:space="preserve">Ref</t>
  </si>
  <si>
    <t xml:space="preserve">Control Title</t>
  </si>
  <si>
    <t xml:space="preserve">Theme</t>
  </si>
  <si>
    <t xml:space="preserve">Applicable</t>
  </si>
  <si>
    <t xml:space="preserve">Justification</t>
  </si>
  <si>
    <t xml:space="preserve">Owner</t>
  </si>
  <si>
    <t xml:space="preserve">Linked Risks</t>
  </si>
  <si>
    <t xml:space="preserve">Last Review</t>
  </si>
  <si>
    <t xml:space="preserve">A.5  Organisational Controls (37)</t>
  </si>
  <si>
    <t xml:space="preserve">5.1</t>
  </si>
  <si>
    <t xml:space="preserve">Policies for information security</t>
  </si>
  <si>
    <t xml:space="preserve">Organizational</t>
  </si>
  <si>
    <t xml:space="preserve">Y</t>
  </si>
  <si>
    <t xml:space="preserve">Required to set management direction for the ISMS and demonstrate top-management commitment, providing the framework under which all other controls operate. Cloudax processes customer voice and personal data on behalf of enterprise customers, who require evidence of formal information security governance.</t>
  </si>
  <si>
    <t xml:space="preserve">Planned</t>
  </si>
  <si>
    <t xml:space="preserve">POL-001 Information Security Policy</t>
  </si>
  <si>
    <t xml:space="preserve">ISM</t>
  </si>
  <si>
    <t xml:space="preserve">R-001</t>
  </si>
  <si>
    <t xml:space="preserve">5.2</t>
  </si>
  <si>
    <t xml:space="preserve">Information security roles and responsibilities</t>
  </si>
  <si>
    <t xml:space="preserve">Required to ensure clear accountability for the protection of information assets. In a small organisation, roles may be combined but must be assigned, documented and communicated.</t>
  </si>
  <si>
    <t xml:space="preserve">POL-001 §4; ISMS-RACI-001</t>
  </si>
  <si>
    <t xml:space="preserve">5.3</t>
  </si>
  <si>
    <t xml:space="preserve">Segregation of duties</t>
  </si>
  <si>
    <t xml:space="preserve">Required to mitigate risk of error or misuse where individuals could perform conflicting functions affecting customer data, source code or production systems. Where headcount limits full separation, compensating controls (peer review, deployment approvals) are documented.</t>
  </si>
  <si>
    <t xml:space="preserve">Partially Implemented</t>
  </si>
  <si>
    <t xml:space="preserve">POL-002 Access Control Policy §3.4</t>
  </si>
  <si>
    <t xml:space="preserve">CTO</t>
  </si>
  <si>
    <t xml:space="preserve">R-002</t>
  </si>
  <si>
    <t xml:space="preserve">5.4</t>
  </si>
  <si>
    <t xml:space="preserve">Management responsibilities</t>
  </si>
  <si>
    <t xml:space="preserve">Required to ensure all personnel apply information security in accordance with established policies and procedures, with management visibly leading by example.</t>
  </si>
  <si>
    <t xml:space="preserve">POL-001 §3; MGT-MR-LOG</t>
  </si>
  <si>
    <t xml:space="preserve">CEO</t>
  </si>
  <si>
    <t xml:space="preserve">5.5</t>
  </si>
  <si>
    <t xml:space="preserve">Contact with authorities</t>
  </si>
  <si>
    <t xml:space="preserve">Required to enable rapid notification under UK GDPR (72-hour ICO breach notification), liaison with NCSC and law enforcement, and demonstration of regulatory engagement.</t>
  </si>
  <si>
    <t xml:space="preserve">PRO-024 Breach Notification Procedure; REG-AUTH-001</t>
  </si>
  <si>
    <t xml:space="preserve">DPO</t>
  </si>
  <si>
    <t xml:space="preserve">R-003</t>
  </si>
  <si>
    <t xml:space="preserve">5.6</t>
  </si>
  <si>
    <t xml:space="preserve">Contact with special interest groups</t>
  </si>
  <si>
    <t xml:space="preserve">Required to maintain awareness of evolving threats and best practice in the conversational AI and contact-centre domain, and to enable rapid information exchange during incidents affecting the wider sector.</t>
  </si>
  <si>
    <t xml:space="preserve">PRO-025 Threat Intelligence Procedure §2</t>
  </si>
  <si>
    <t xml:space="preserve">R-004</t>
  </si>
  <si>
    <t xml:space="preserve">5.7</t>
  </si>
  <si>
    <t xml:space="preserve">Threat intelligence</t>
  </si>
  <si>
    <t xml:space="preserve">Required to inform risk treatment, monitoring rules and supplier oversight in a domain where threat techniques (prompt injection, voice cloning, model abuse) evolve rapidly. Threat intelligence feeds detection and response capabilities under controls 8.16, 5.22 and 5.24.</t>
  </si>
  <si>
    <t xml:space="preserve">PRO-025 Threat Intelligence Procedure</t>
  </si>
  <si>
    <t xml:space="preserve">R-004, R-020</t>
  </si>
  <si>
    <t xml:space="preserve">5.8</t>
  </si>
  <si>
    <t xml:space="preserve">Information security in project management</t>
  </si>
  <si>
    <t xml:space="preserve">Required to embed information security and privacy considerations into the design of new platform features, customer integrations and infrastructure changes, ensuring controls are designed in rather than retrofitted.</t>
  </si>
  <si>
    <t xml:space="preserve">PRO-008 Project Security Procedure</t>
  </si>
  <si>
    <t xml:space="preserve">R-005</t>
  </si>
  <si>
    <t xml:space="preserve">5.9</t>
  </si>
  <si>
    <t xml:space="preserve">Inventory of information and other associated assets</t>
  </si>
  <si>
    <t xml:space="preserve">Required to provide the foundation for risk assessment, access control, retention, encryption and incident response. Cloud-native asset discovery is supplemented by a manually maintained information asset register for non-discoverable assets such as fine-tuned models and prompt libraries.</t>
  </si>
  <si>
    <t xml:space="preserve">REG-IAR-001 Information Asset Register</t>
  </si>
  <si>
    <t xml:space="preserve">R-006</t>
  </si>
  <si>
    <t xml:space="preserve">5.10</t>
  </si>
  <si>
    <t xml:space="preserve">Acceptable use of information and other associated assets</t>
  </si>
  <si>
    <t xml:space="preserve">Required to set explicit expectations for staff handling of customer data, corporate assets and generative AI tooling, particularly relevant given staff routinely interact with consumer AI services that may exfiltrate inputs.</t>
  </si>
  <si>
    <t xml:space="preserve">POL-003 Acceptable Use Policy</t>
  </si>
  <si>
    <t xml:space="preserve">R-007</t>
  </si>
  <si>
    <t xml:space="preserve">5.11</t>
  </si>
  <si>
    <t xml:space="preserve">Return of assets</t>
  </si>
  <si>
    <t xml:space="preserve">Required to recover company-issued laptops, peripherals and credentials at termination of employment or contract, despite the fully remote operating model.</t>
  </si>
  <si>
    <t xml:space="preserve">PRO-005 Joiner Mover Leaver Procedure §6</t>
  </si>
  <si>
    <t xml:space="preserve">HR</t>
  </si>
  <si>
    <t xml:space="preserve">R-008</t>
  </si>
  <si>
    <t xml:space="preserve">5.12</t>
  </si>
  <si>
    <t xml:space="preserve">Classification of information</t>
  </si>
  <si>
    <t xml:space="preserve">Required to enable proportionate protection of information assets ranging from public marketing material to special-category personal data within voice recordings.</t>
  </si>
  <si>
    <t xml:space="preserve">POL-004 Information Classification Policy</t>
  </si>
  <si>
    <t xml:space="preserve">R-009</t>
  </si>
  <si>
    <t xml:space="preserve">5.13</t>
  </si>
  <si>
    <t xml:space="preserve">Labelling of information</t>
  </si>
  <si>
    <t xml:space="preserve">Required to enable consistent handling and to support automated controls (DLP, retention, encryption decisions) that depend on classification.</t>
  </si>
  <si>
    <t xml:space="preserve">POL-004 §4 Labelling Standards</t>
  </si>
  <si>
    <t xml:space="preserve">5.14</t>
  </si>
  <si>
    <t xml:space="preserve">Information transfer</t>
  </si>
  <si>
    <t xml:space="preserve">Required to control the secure exchange of information between Cloudax, customers, sub-processors (LLM providers, telephony partners, transcription engines) and third parties.</t>
  </si>
  <si>
    <t xml:space="preserve">POL-005 Information Transfer Policy</t>
  </si>
  <si>
    <t xml:space="preserve">R-010</t>
  </si>
  <si>
    <t xml:space="preserve">5.15</t>
  </si>
  <si>
    <t xml:space="preserve">Access control</t>
  </si>
  <si>
    <t xml:space="preserve">Required to provide the policy framework under which logical and physical access controls operate, ensuring access is granted on the basis of business need and least privilege.</t>
  </si>
  <si>
    <t xml:space="preserve">POL-002 Access Control Policy</t>
  </si>
  <si>
    <t xml:space="preserve">R-011</t>
  </si>
  <si>
    <t xml:space="preserve">5.16</t>
  </si>
  <si>
    <t xml:space="preserve">Identity management</t>
  </si>
  <si>
    <t xml:space="preserve">Required because identity is the primary perimeter in a fully cloud-hosted, remote-first organisation. Centralised identity provider with single sign-on covers all production and corporate systems.</t>
  </si>
  <si>
    <t xml:space="preserve">Implemented</t>
  </si>
  <si>
    <t xml:space="preserve">POL-002 §2; CFG-IDP-001</t>
  </si>
  <si>
    <t xml:space="preserve">5.17</t>
  </si>
  <si>
    <t xml:space="preserve">Authentication information</t>
  </si>
  <si>
    <t xml:space="preserve">Required to protect credentials, secrets and API keys used to access customer data, infrastructure, source code and third-party services. Compromise of authentication information is a primary attack vector.</t>
  </si>
  <si>
    <t xml:space="preserve">POL-002 §5; PRO-017 Secrets Management Procedure</t>
  </si>
  <si>
    <t xml:space="preserve">R-011, R-024, R-030</t>
  </si>
  <si>
    <t xml:space="preserve">5.18</t>
  </si>
  <si>
    <t xml:space="preserve">Access rights</t>
  </si>
  <si>
    <t xml:space="preserve">Required to ensure access is granted, modified and revoked in line with the joiner-mover-leaver process, with regular review to detect privilege creep.</t>
  </si>
  <si>
    <t xml:space="preserve">PRO-005 §3 Access Reviews</t>
  </si>
  <si>
    <t xml:space="preserve">5.19</t>
  </si>
  <si>
    <t xml:space="preserve">Information security in supplier relationships</t>
  </si>
  <si>
    <t xml:space="preserve">Required because Cloudax's threat surface is largely inherited from suppliers (hyperscalers, LLM providers, telephony, CRM); supplier security failure is a top organisational risk.</t>
  </si>
  <si>
    <t xml:space="preserve">POL-006 Supplier Security Policy</t>
  </si>
  <si>
    <t xml:space="preserve">R-012</t>
  </si>
  <si>
    <t xml:space="preserve">5.20</t>
  </si>
  <si>
    <t xml:space="preserve">Addressing information security within supplier agreements</t>
  </si>
  <si>
    <t xml:space="preserve">Required to ensure security and data protection obligations (including UK GDPR Article 28 controller-processor terms) are contractually documented with all relevant suppliers.</t>
  </si>
  <si>
    <t xml:space="preserve">POL-006 §5; CON-DPA-TEMPLATE</t>
  </si>
  <si>
    <t xml:space="preserve">Legal</t>
  </si>
  <si>
    <t xml:space="preserve">R-010, R-012</t>
  </si>
  <si>
    <t xml:space="preserve">5.21</t>
  </si>
  <si>
    <t xml:space="preserve">Managing information security in the ICT supply chain</t>
  </si>
  <si>
    <t xml:space="preserve">Required because software supply chain compromise (malicious dependencies, container images, model weights) is a primary attack vector for AI platforms and warrants specific controls beyond general supplier management.</t>
  </si>
  <si>
    <t xml:space="preserve">POL-006 §7; PRO-021</t>
  </si>
  <si>
    <t xml:space="preserve">R-013</t>
  </si>
  <si>
    <t xml:space="preserve">5.22</t>
  </si>
  <si>
    <t xml:space="preserve">Monitoring, review and change management of supplier services</t>
  </si>
  <si>
    <t xml:space="preserve">Required to detect security-relevant changes by suppliers (model deprecations, API changes, security incidents at sub-processors) before they affect the Cloudax service.</t>
  </si>
  <si>
    <t xml:space="preserve">PRO-022 Supplier Monitoring Procedure</t>
  </si>
  <si>
    <t xml:space="preserve">5.23</t>
  </si>
  <si>
    <t xml:space="preserve">Information security for use of cloud services</t>
  </si>
  <si>
    <t xml:space="preserve">Required because Cloudax operates entirely on cloud services with no on-premises infrastructure, making cloud-specific controls (shared responsibility, configuration baselines, exit strategy) central to the ISMS.</t>
  </si>
  <si>
    <t xml:space="preserve">POL-007 Cloud Services Policy</t>
  </si>
  <si>
    <t xml:space="preserve">R-014</t>
  </si>
  <si>
    <t xml:space="preserve">5.24</t>
  </si>
  <si>
    <t xml:space="preserve">Information security incident management planning and preparation</t>
  </si>
  <si>
    <t xml:space="preserve">Required to enable a coordinated response to incidents, given that an incident affecting Cloudax Connect simultaneously affects all customers' contact-centre operations.</t>
  </si>
  <si>
    <t xml:space="preserve">PLAN-IRP-001 Incident Response Plan</t>
  </si>
  <si>
    <t xml:space="preserve">R-015</t>
  </si>
  <si>
    <t xml:space="preserve">5.25</t>
  </si>
  <si>
    <t xml:space="preserve">Assessment and decision on information security events</t>
  </si>
  <si>
    <t xml:space="preserve">Required to triage security events from cloud-native and application monitoring sources, distinguishing routine alerts from incidents requiring response.</t>
  </si>
  <si>
    <t xml:space="preserve">PLAN-IRP-001 §4 Triage</t>
  </si>
  <si>
    <t xml:space="preserve">5.26</t>
  </si>
  <si>
    <t xml:space="preserve">Response to information security incidents</t>
  </si>
  <si>
    <t xml:space="preserve">Required to contain, eradicate and recover from incidents in a documented, repeatable manner that preserves evidence and meets contractual and regulatory deadlines.</t>
  </si>
  <si>
    <t xml:space="preserve">PLAN-IRP-001 §5 Response</t>
  </si>
  <si>
    <t xml:space="preserve">5.27</t>
  </si>
  <si>
    <t xml:space="preserve">Learning from information security incidents</t>
  </si>
  <si>
    <t xml:space="preserve">Required to feed lessons learned back into risk treatment, control design and training, and to demonstrate continual improvement of the ISMS.</t>
  </si>
  <si>
    <t xml:space="preserve">PLAN-IRP-001 §8 Lessons Learned</t>
  </si>
  <si>
    <t xml:space="preserve">5.28</t>
  </si>
  <si>
    <t xml:space="preserve">Collection of evidence</t>
  </si>
  <si>
    <t xml:space="preserve">Required to support disciplinary, contractual or legal action following incidents, with particular attention to the constraints of cloud forensics (ephemeral resources, vendor-mediated access, log retention windows).</t>
  </si>
  <si>
    <t xml:space="preserve">PRO-026 Forensic Readiness Procedure</t>
  </si>
  <si>
    <t xml:space="preserve">5.29</t>
  </si>
  <si>
    <t xml:space="preserve">Information security during disruption</t>
  </si>
  <si>
    <t xml:space="preserve">Required to ensure that information security controls (access, encryption, logging) remain effective when normal operations are disrupted, preventing degraded-mode operations from creating exposure.</t>
  </si>
  <si>
    <t xml:space="preserve">PLAN-BCP-001 Business Continuity Plan</t>
  </si>
  <si>
    <t xml:space="preserve">R-016</t>
  </si>
  <si>
    <t xml:space="preserve">5.30</t>
  </si>
  <si>
    <t xml:space="preserve">ICT readiness for business continuity</t>
  </si>
  <si>
    <t xml:space="preserve">Required because Cloudax Connect is a 24/7 critical service for customers' contact-centre operations, with contractual recovery time and recovery point objectives that must be technically achievable and tested.</t>
  </si>
  <si>
    <t xml:space="preserve">PLAN-DRP-001 Disaster Recovery Plan</t>
  </si>
  <si>
    <t xml:space="preserve">5.31</t>
  </si>
  <si>
    <t xml:space="preserve">Legal, statutory, regulatory and contractual requirements</t>
  </si>
  <si>
    <t xml:space="preserve">Required to identify and meet obligations arising from UK GDPR, Data Protection Act 2018, PECR (call recording disclosure and outbound consent), and contractual obligations to enterprise customers.</t>
  </si>
  <si>
    <t xml:space="preserve">REG-COMP-001 Compliance Obligations Register</t>
  </si>
  <si>
    <t xml:space="preserve">5.32</t>
  </si>
  <si>
    <t xml:space="preserve">Intellectual property rights</t>
  </si>
  <si>
    <t xml:space="preserve">Required to protect Cloudax's proprietary models, prompts and source code, to respect third-party software licences (including open-source obligations), and to safeguard customer intellectual property within knowledge bases.</t>
  </si>
  <si>
    <t xml:space="preserve">POL-008 IP and Software Licence Policy</t>
  </si>
  <si>
    <t xml:space="preserve">R-017</t>
  </si>
  <si>
    <t xml:space="preserve">5.33</t>
  </si>
  <si>
    <t xml:space="preserve">Protection of records</t>
  </si>
  <si>
    <t xml:space="preserve">Required to protect call recordings, transcripts, ISMS records and statutory records throughout their lifecycle, with retention aligned to legal and contractual obligations.</t>
  </si>
  <si>
    <t xml:space="preserve">POL-009 Records Retention Policy</t>
  </si>
  <si>
    <t xml:space="preserve">5.34</t>
  </si>
  <si>
    <t xml:space="preserve">Privacy and protection of PII</t>
  </si>
  <si>
    <t xml:space="preserve">Required because voice recordings and transcripts routinely contain personal and special-category data, and PECR imposes specific obligations for call-recording disclosure and outbound consent that text-based platforms do not face.</t>
  </si>
  <si>
    <t xml:space="preserve">POL-010 Privacy Policy; REG-ROPA-001; REG-DPIA-001</t>
  </si>
  <si>
    <t xml:space="preserve">5.35</t>
  </si>
  <si>
    <t xml:space="preserve">Independent review of information security</t>
  </si>
  <si>
    <t xml:space="preserve">Required to provide objective assurance over the ISMS through internal audit, penetration testing and external certification, both for management oversight and for enterprise customer due-diligence requirements.</t>
  </si>
  <si>
    <t xml:space="preserve">PROG-AUDIT-001 Internal Audit Programme</t>
  </si>
  <si>
    <t xml:space="preserve">R-018</t>
  </si>
  <si>
    <t xml:space="preserve">5.36</t>
  </si>
  <si>
    <t xml:space="preserve">Compliance with policies, rules and standards for information security</t>
  </si>
  <si>
    <t xml:space="preserve">Required to verify ongoing adherence to ISMS policies and applicable standards, with findings driving corrective action.</t>
  </si>
  <si>
    <t xml:space="preserve">PROG-COMP-001 Compliance Monitoring Schedule</t>
  </si>
  <si>
    <t xml:space="preserve">5.37</t>
  </si>
  <si>
    <t xml:space="preserve">Documented operating procedures</t>
  </si>
  <si>
    <t xml:space="preserve">Required to ensure consistent, secure operation of the platform regardless of personnel changes, particularly important in a small team where critical operational knowledge would otherwise be concentrated in a few individuals.</t>
  </si>
  <si>
    <t xml:space="preserve">WIKI-OPS Operations Runbook Library</t>
  </si>
  <si>
    <t xml:space="preserve">R-019</t>
  </si>
  <si>
    <t xml:space="preserve">A.6  People Controls (8)</t>
  </si>
  <si>
    <t xml:space="preserve">6.1</t>
  </si>
  <si>
    <t xml:space="preserve">Screening</t>
  </si>
  <si>
    <t xml:space="preserve">People</t>
  </si>
  <si>
    <t xml:space="preserve">Required because personnel access customer voice data and production systems; right-to-work, references and basic disclosure checks are completed prior to access being granted.</t>
  </si>
  <si>
    <t xml:space="preserve">PRO-002 Personnel Screening Procedure</t>
  </si>
  <si>
    <t xml:space="preserve">6.2</t>
  </si>
  <si>
    <t xml:space="preserve">Terms and conditions of employment</t>
  </si>
  <si>
    <t xml:space="preserve">Required to make information security responsibilities, confidentiality obligations and intellectual property assignment contractually binding on all personnel.</t>
  </si>
  <si>
    <t xml:space="preserve">TPL-EMP-001 Employment Contract Template</t>
  </si>
  <si>
    <t xml:space="preserve">R-008, R-017</t>
  </si>
  <si>
    <t xml:space="preserve">6.3</t>
  </si>
  <si>
    <t xml:space="preserve">Information security awareness, education and training</t>
  </si>
  <si>
    <t xml:space="preserve">Required to ensure personnel understand their security responsibilities, recognise relevant threats (including phishing, social engineering and AI-specific risks such as data leakage to consumer LLMs) and know how to respond.</t>
  </si>
  <si>
    <t xml:space="preserve">PROG-TRAIN-001 Awareness Training Programme</t>
  </si>
  <si>
    <t xml:space="preserve">R-007, R-020</t>
  </si>
  <si>
    <t xml:space="preserve">6.4</t>
  </si>
  <si>
    <t xml:space="preserve">Disciplinary process</t>
  </si>
  <si>
    <t xml:space="preserve">Required to provide a documented and proportionate response to security violations by personnel, serving both as deterrent and as procedural fairness.</t>
  </si>
  <si>
    <t xml:space="preserve">POL-011 Disciplinary Policy</t>
  </si>
  <si>
    <t xml:space="preserve">6.5</t>
  </si>
  <si>
    <t xml:space="preserve">Responsibilities after termination or change of employment</t>
  </si>
  <si>
    <t xml:space="preserve">Required to ensure post-employment obligations regarding confidentiality and intellectual property survive the end of employment, and that operational handover does not introduce security gaps.</t>
  </si>
  <si>
    <t xml:space="preserve">PRO-005 §6 Leavers; TPL-EMP-001 §12</t>
  </si>
  <si>
    <t xml:space="preserve">6.6</t>
  </si>
  <si>
    <t xml:space="preserve">Confidentiality or non-disclosure agreements</t>
  </si>
  <si>
    <t xml:space="preserve">Required to bind staff, contractors, suppliers and prospects to confidentiality obligations covering customer data, proprietary models and other sensitive information.</t>
  </si>
  <si>
    <t xml:space="preserve">TPL-NDA-001 NDA Templates</t>
  </si>
  <si>
    <t xml:space="preserve">6.7</t>
  </si>
  <si>
    <t xml:space="preserve">Remote working</t>
  </si>
  <si>
    <t xml:space="preserve">Required because Cloudax operates a fully remote workforce; remote-working controls form the central element of the operating model rather than a supplementary arrangement.</t>
  </si>
  <si>
    <t xml:space="preserve">POL-012 Remote Working Policy</t>
  </si>
  <si>
    <t xml:space="preserve">R-021</t>
  </si>
  <si>
    <t xml:space="preserve">6.8</t>
  </si>
  <si>
    <t xml:space="preserve">Information security event reporting</t>
  </si>
  <si>
    <t xml:space="preserve">Required to provide all personnel with a clear, low-friction mechanism for reporting suspected security events, recognising that delayed reporting frequently transforms manageable events into incidents.</t>
  </si>
  <si>
    <t xml:space="preserve">PRO-027 Event Reporting Procedure</t>
  </si>
  <si>
    <t xml:space="preserve">A.7  Physical Controls (14)</t>
  </si>
  <si>
    <t xml:space="preserve">7.1</t>
  </si>
  <si>
    <t xml:space="preserve">Physical security perimeters</t>
  </si>
  <si>
    <t xml:space="preserve">Physical</t>
  </si>
  <si>
    <t xml:space="preserve">Cloudax operates no offices or data centres of its own. Physical perimeter security for production infrastructure is inherited from cloud service providers under the shared-responsibility model and verified via their independent audit reports. The London registered office is a virtual address with no Cloudax personnel or assets.</t>
  </si>
  <si>
    <t xml:space="preserve">POL-007 §3; SUP-AWS-SOC2; SUP-AZURE-ISO27001</t>
  </si>
  <si>
    <t xml:space="preserve">R-022</t>
  </si>
  <si>
    <t xml:space="preserve">7.2</t>
  </si>
  <si>
    <t xml:space="preserve">Physical entry</t>
  </si>
  <si>
    <t xml:space="preserve">Cloudax has no premises with physical entry controls. Physical entry to production infrastructure is governed by cloud service providers' certified access controls, evidenced through their independent audit reports.</t>
  </si>
  <si>
    <t xml:space="preserve">Hyperscaler audit reports</t>
  </si>
  <si>
    <t xml:space="preserve">7.3</t>
  </si>
  <si>
    <t xml:space="preserve">Securing offices, rooms and facilities</t>
  </si>
  <si>
    <t xml:space="preserve">Cloudax operates no offices, rooms or facilities of its own. Equivalent controls for production infrastructure are inherited from cloud service providers.</t>
  </si>
  <si>
    <t xml:space="preserve">POL-007 §3 Shared Responsibility</t>
  </si>
  <si>
    <t xml:space="preserve">7.4</t>
  </si>
  <si>
    <t xml:space="preserve">Physical security monitoring</t>
  </si>
  <si>
    <t xml:space="preserve">Inherited from cloud service providers' 24/7 monitored facilities. No Cloudax-operated physical environment requires monitoring beyond home-working environments addressed under control 6.7.</t>
  </si>
  <si>
    <t xml:space="preserve">7.5</t>
  </si>
  <si>
    <t xml:space="preserve">Protecting against physical and environmental threats</t>
  </si>
  <si>
    <t xml:space="preserve">Inherited from cloud service providers (fire suppression, flood protection, seismic resilience, power redundancy). Reasonable-care guidance is provided to personnel for home-working environments.</t>
  </si>
  <si>
    <t xml:space="preserve">7.6</t>
  </si>
  <si>
    <t xml:space="preserve">Working in secure areas</t>
  </si>
  <si>
    <t xml:space="preserve">Cloudax operates no secure physical areas. Logical equivalents — production cloud accounts and source-code repositories — are addressed by access controls under A.5 and A.8.</t>
  </si>
  <si>
    <t xml:space="preserve">POL-007 §3; POL-002</t>
  </si>
  <si>
    <t xml:space="preserve">7.7</t>
  </si>
  <si>
    <t xml:space="preserve">Clear desk and clear screen</t>
  </si>
  <si>
    <t xml:space="preserve">Required for remote workers who handle customer voice data in shared and home environments. Auto-lock is enforced through mobile device management; behaviour expectations are documented in the Remote Working Policy.</t>
  </si>
  <si>
    <t xml:space="preserve">POL-012 §4; CFG-MDM-001</t>
  </si>
  <si>
    <t xml:space="preserve">7.8</t>
  </si>
  <si>
    <t xml:space="preserve">Equipment siting and protection</t>
  </si>
  <si>
    <t xml:space="preserve">Applies to staff laptops in home environments, with guidance provided in the Remote Working Policy. Siting and protection of server equipment is inherited from cloud service providers.</t>
  </si>
  <si>
    <t xml:space="preserve">POL-012 §5</t>
  </si>
  <si>
    <t xml:space="preserve">7.9</t>
  </si>
  <si>
    <t xml:space="preserve">Security of assets off-premises</t>
  </si>
  <si>
    <t xml:space="preserve">All Cloudax laptops are off-premises by default. Full-disk encryption, mobile device management, endpoint detection and response, and conditional access are applied to all managed devices, with remote-wipe capability in case of loss or theft.</t>
  </si>
  <si>
    <t xml:space="preserve">POL-012 §3; CFG-MDM-001</t>
  </si>
  <si>
    <t xml:space="preserve">7.10</t>
  </si>
  <si>
    <t xml:space="preserve">Storage media</t>
  </si>
  <si>
    <t xml:space="preserve">Removable media is restricted by policy and technical control. Where used, media must be encrypted and its use logged, with cryptographic erase or destruction at end of life.</t>
  </si>
  <si>
    <t xml:space="preserve">POL-013 Removable Media Policy</t>
  </si>
  <si>
    <t xml:space="preserve">R-023</t>
  </si>
  <si>
    <t xml:space="preserve">7.11</t>
  </si>
  <si>
    <t xml:space="preserve">Supporting utilities</t>
  </si>
  <si>
    <t xml:space="preserve">Inherited from cloud service providers (uninterruptible power, generators, redundant connectivity). Not applicable to home-working environments.</t>
  </si>
  <si>
    <t xml:space="preserve">7.12</t>
  </si>
  <si>
    <t xml:space="preserve">Cabling security</t>
  </si>
  <si>
    <t xml:space="preserve">Inherited from cloud service providers. Not applicable to Cloudax operations as no corporate network infrastructure is operated.</t>
  </si>
  <si>
    <t xml:space="preserve">7.13</t>
  </si>
  <si>
    <t xml:space="preserve">Equipment maintenance</t>
  </si>
  <si>
    <t xml:space="preserve">Laptop maintenance is delivered through vendor support and centralised patching via mobile device management. Server equipment maintenance is inherited from cloud service providers.</t>
  </si>
  <si>
    <t xml:space="preserve">PRO-028 Asset Lifecycle Procedure; CFG-MDM-001</t>
  </si>
  <si>
    <t xml:space="preserve">7.14</t>
  </si>
  <si>
    <t xml:space="preserve">Secure disposal or re-use of equipment</t>
  </si>
  <si>
    <t xml:space="preserve">Cloudax laptops are securely wiped using cryptographic erase prior to re-use or disposal, with certificates of destruction retained for end-of-life devices processed by an IT asset disposal partner.</t>
  </si>
  <si>
    <t xml:space="preserve">PRO-028 §5; CER-DISP-LOG</t>
  </si>
  <si>
    <t xml:space="preserve">A.8  Technological Controls (34)</t>
  </si>
  <si>
    <t xml:space="preserve">8.1</t>
  </si>
  <si>
    <t xml:space="preserve">User end point devices</t>
  </si>
  <si>
    <t xml:space="preserve">Technological</t>
  </si>
  <si>
    <t xml:space="preserve">Required because endpoints are the primary user-facing attack surface in a fully remote operating model. All endpoints are managed and subject to a documented baseline.</t>
  </si>
  <si>
    <t xml:space="preserve">CFG-MDM-001 Endpoint Baseline; CFG-EDR-001</t>
  </si>
  <si>
    <t xml:space="preserve">R-006, R-021, R-025</t>
  </si>
  <si>
    <t xml:space="preserve">8.2</t>
  </si>
  <si>
    <t xml:space="preserve">Privileged access rights</t>
  </si>
  <si>
    <t xml:space="preserve">Required to control access to high-impact functions (cloud account administration, source code repositories, AI provider consoles, customer data stores), with privileged access subject to additional authentication, logging and review controls.</t>
  </si>
  <si>
    <t xml:space="preserve">POL-002 §6 Privileged Access</t>
  </si>
  <si>
    <t xml:space="preserve">8.3</t>
  </si>
  <si>
    <t xml:space="preserve">Information access restriction</t>
  </si>
  <si>
    <t xml:space="preserve">Required to enforce least-privilege access to information based on business need, role and data classification.</t>
  </si>
  <si>
    <t xml:space="preserve">POL-002 §3 Least Privilege</t>
  </si>
  <si>
    <t xml:space="preserve">8.4</t>
  </si>
  <si>
    <t xml:space="preserve">Access to source code</t>
  </si>
  <si>
    <t xml:space="preserve">Required because source code embodies both intellectual property and security-relevant logic (validation, authentication, prompt templates), and unauthorised modification or disclosure presents material risk.</t>
  </si>
  <si>
    <t xml:space="preserve">CFG-SCM-001 Source Control Configuration</t>
  </si>
  <si>
    <t xml:space="preserve">R-024</t>
  </si>
  <si>
    <t xml:space="preserve">8.5</t>
  </si>
  <si>
    <t xml:space="preserve">Secure authentication</t>
  </si>
  <si>
    <t xml:space="preserve">Required to mitigate credential-based attacks, with multi-factor authentication mandatory for all accounts and phishing-resistant authentication required for privileged users.</t>
  </si>
  <si>
    <t xml:space="preserve">POL-002 §5; CFG-IDP-001</t>
  </si>
  <si>
    <t xml:space="preserve">8.6</t>
  </si>
  <si>
    <t xml:space="preserve">Capacity management</t>
  </si>
  <si>
    <t xml:space="preserve">Required to maintain availability and voice-quality service levels, given that Cloudax Connect is latency-sensitive and customer outbound campaigns generate predictable demand spikes.</t>
  </si>
  <si>
    <t xml:space="preserve">PRO-029 Capacity Management Procedure</t>
  </si>
  <si>
    <t xml:space="preserve">8.7</t>
  </si>
  <si>
    <t xml:space="preserve">Protection against malware</t>
  </si>
  <si>
    <t xml:space="preserve">Required at endpoint and cloud workload layers to detect and prevent malware that would compromise customer data or platform integrity.</t>
  </si>
  <si>
    <t xml:space="preserve">CFG-EDR-001; CFG-CWP-001</t>
  </si>
  <si>
    <t xml:space="preserve">R-025</t>
  </si>
  <si>
    <t xml:space="preserve">8.8</t>
  </si>
  <si>
    <t xml:space="preserve">Management of technical vulnerabilities</t>
  </si>
  <si>
    <t xml:space="preserve">Required to identify and remediate vulnerabilities in operating systems, libraries, container images, cloud services and AI components within risk-based timeframes.</t>
  </si>
  <si>
    <t xml:space="preserve">POL-014 Vulnerability Management Standard</t>
  </si>
  <si>
    <t xml:space="preserve">R-026</t>
  </si>
  <si>
    <t xml:space="preserve">8.9</t>
  </si>
  <si>
    <t xml:space="preserve">Configuration management</t>
  </si>
  <si>
    <t xml:space="preserve">Required to maintain secure baselines for cloud, endpoint and application configurations through infrastructure-as-code, with detection of drift from approved configurations.</t>
  </si>
  <si>
    <t xml:space="preserve">POL-015 Configuration Management Policy; REPO-IAC</t>
  </si>
  <si>
    <t xml:space="preserve">R-014, R-026</t>
  </si>
  <si>
    <t xml:space="preserve">8.10</t>
  </si>
  <si>
    <t xml:space="preserve">Information deletion</t>
  </si>
  <si>
    <t xml:space="preserve">Required to delete customer voice data and transcripts at the end of contractual retention periods or upon valid data-subject erasure requests, with deletion verifiable across primary storage, backups and analytics derivatives.</t>
  </si>
  <si>
    <t xml:space="preserve">POL-009 §4 Deletion</t>
  </si>
  <si>
    <t xml:space="preserve">8.11</t>
  </si>
  <si>
    <t xml:space="preserve">Data masking</t>
  </si>
  <si>
    <t xml:space="preserve">Required to protect personal data in non-production environments and analytics outputs, particularly relevant where transcripts may contain payment details, identification numbers and special-category data.</t>
  </si>
  <si>
    <t xml:space="preserve">POL-016 Data Masking Standard</t>
  </si>
  <si>
    <t xml:space="preserve">R-027</t>
  </si>
  <si>
    <t xml:space="preserve">8.12</t>
  </si>
  <si>
    <t xml:space="preserve">Data leakage prevention</t>
  </si>
  <si>
    <t xml:space="preserve">Required to detect and prevent unauthorised exfiltration of customer or organisational data, including through consumer AI services that retain inputs for model training.</t>
  </si>
  <si>
    <t xml:space="preserve">POL-017 Data Leakage Prevention Standard</t>
  </si>
  <si>
    <t xml:space="preserve">R-007, R-023, R-027</t>
  </si>
  <si>
    <t xml:space="preserve">8.13</t>
  </si>
  <si>
    <t xml:space="preserve">Information backup</t>
  </si>
  <si>
    <t xml:space="preserve">Required to enable recovery of customer data, configuration and ISMS records to meet contractual recovery objectives, with restore testing to validate recoverability.</t>
  </si>
  <si>
    <t xml:space="preserve">POL-018 Backup Policy; PRO-030 Restore Test</t>
  </si>
  <si>
    <t xml:space="preserve">8.14</t>
  </si>
  <si>
    <t xml:space="preserve">Redundancy of information processing facilities</t>
  </si>
  <si>
    <t xml:space="preserve">Required because Cloudax Connect supports customers' 24/7 contact-centre operations; redundant deployment is implemented at availability-zone and region level for tier-1 services.</t>
  </si>
  <si>
    <t xml:space="preserve">PLAN-DRP-001 §3 Architecture</t>
  </si>
  <si>
    <t xml:space="preserve">8.15</t>
  </si>
  <si>
    <t xml:space="preserve">Logging</t>
  </si>
  <si>
    <t xml:space="preserve">Required to enable detection of and investigation into security events affecting cloud, application and identity layers, with retention sufficient to meet contractual and forensic requirements.</t>
  </si>
  <si>
    <t xml:space="preserve">POL-019 Logging Standard</t>
  </si>
  <si>
    <t xml:space="preserve">R-028</t>
  </si>
  <si>
    <t xml:space="preserve">8.16</t>
  </si>
  <si>
    <t xml:space="preserve">Monitoring activities</t>
  </si>
  <si>
    <t xml:space="preserve">Required to provide continuous monitoring of cloud, application and identity activity for indicators of compromise, with detection rules tuned to relevant threats including AI-specific attack patterns.</t>
  </si>
  <si>
    <t xml:space="preserve">POL-020 Monitoring Standard; CFG-SIEM-001</t>
  </si>
  <si>
    <t xml:space="preserve">R-004, R-015, R-028</t>
  </si>
  <si>
    <t xml:space="preserve">8.17</t>
  </si>
  <si>
    <t xml:space="preserve">Clock synchronisation</t>
  </si>
  <si>
    <t xml:space="preserve">Required to ensure log records across cloud accounts and application components share a consistent time reference for correlation and forensic analysis.</t>
  </si>
  <si>
    <t xml:space="preserve">CFG-NTP-001</t>
  </si>
  <si>
    <t xml:space="preserve">8.18</t>
  </si>
  <si>
    <t xml:space="preserve">Use of privileged utility programs</t>
  </si>
  <si>
    <t xml:space="preserve">Required to control administrative tooling on endpoints and in cloud environments, with use restricted to authorised personnel and recorded in audit logs.</t>
  </si>
  <si>
    <t xml:space="preserve">POL-002 §6; CFG-MDM-001</t>
  </si>
  <si>
    <t xml:space="preserve">8.19</t>
  </si>
  <si>
    <t xml:space="preserve">Installation of software on operational systems</t>
  </si>
  <si>
    <t xml:space="preserve">Required to control what software runs on endpoints and production systems, through application allow-listing and signed-image deployment pipelines.</t>
  </si>
  <si>
    <t xml:space="preserve">POL-021 Software Installation Policy; CFG-MDM-001</t>
  </si>
  <si>
    <t xml:space="preserve">8.20</t>
  </si>
  <si>
    <t xml:space="preserve">Networks security</t>
  </si>
  <si>
    <t xml:space="preserve">Required to protect cloud network segments through defence-in-depth controls (segmentation, security groups, web application firewall, egress filtering).</t>
  </si>
  <si>
    <t xml:space="preserve">POL-022 Network Security Standard; REPO-IAC</t>
  </si>
  <si>
    <t xml:space="preserve">R-014, R-029</t>
  </si>
  <si>
    <t xml:space="preserve">8.21</t>
  </si>
  <si>
    <t xml:space="preserve">Security of network services</t>
  </si>
  <si>
    <t xml:space="preserve">Required to ensure network services obtained from cloud service providers, internet service providers and telephony partners meet security requirements documented in supplier agreements.</t>
  </si>
  <si>
    <t xml:space="preserve">POL-022 §6 Network Services</t>
  </si>
  <si>
    <t xml:space="preserve">R-029</t>
  </si>
  <si>
    <t xml:space="preserve">8.22</t>
  </si>
  <si>
    <t xml:space="preserve">Segregation of networks</t>
  </si>
  <si>
    <t xml:space="preserve">Required to isolate production, non-production and corporate environments from one another, with cross-environment access paths controlled and monitored.</t>
  </si>
  <si>
    <t xml:space="preserve">POL-022 §4 Segregation</t>
  </si>
  <si>
    <t xml:space="preserve">8.23</t>
  </si>
  <si>
    <t xml:space="preserve">Web filtering</t>
  </si>
  <si>
    <t xml:space="preserve">Required to protect personnel from access to malicious web content and to enforce policy on the use of consumer AI services that may exfiltrate inputs.</t>
  </si>
  <si>
    <t xml:space="preserve">POL-022 §7; CFG-WEB-001</t>
  </si>
  <si>
    <t xml:space="preserve">R-007, R-021</t>
  </si>
  <si>
    <t xml:space="preserve">8.24</t>
  </si>
  <si>
    <t xml:space="preserve">Use of cryptography</t>
  </si>
  <si>
    <t xml:space="preserve">Required to protect customer voice data and other sensitive information in transit and at rest, with cryptographic keys managed under documented controls.</t>
  </si>
  <si>
    <t xml:space="preserve">POL-023 Cryptographic Controls Policy</t>
  </si>
  <si>
    <t xml:space="preserve">R-030</t>
  </si>
  <si>
    <t xml:space="preserve">8.25</t>
  </si>
  <si>
    <t xml:space="preserve">Secure development life cycle</t>
  </si>
  <si>
    <t xml:space="preserve">Required because Cloudax develops the Cloudax Connect platform in-house; the secure development lifecycle integrates security into design, implementation, testing and deployment.</t>
  </si>
  <si>
    <t xml:space="preserve">POL-024 Secure Development Lifecycle</t>
  </si>
  <si>
    <t xml:space="preserve">8.26</t>
  </si>
  <si>
    <t xml:space="preserve">Application security requirements</t>
  </si>
  <si>
    <t xml:space="preserve">Required to elicit and document security requirements for each release, including AI-specific requirements addressing prompt injection, output filtering and model access controls.</t>
  </si>
  <si>
    <t xml:space="preserve">POL-024 §3 Security Requirements</t>
  </si>
  <si>
    <t xml:space="preserve">R-004, R-005</t>
  </si>
  <si>
    <t xml:space="preserve">8.27</t>
  </si>
  <si>
    <t xml:space="preserve">Secure system architecture and engineering principles</t>
  </si>
  <si>
    <t xml:space="preserve">Required because in-house development of the platform demands consistent application of secure-by-design principles (least privilege, fail-secure, defence in depth) across architectural decisions.</t>
  </si>
  <si>
    <t xml:space="preserve">POL-024 §4 Architecture Principles</t>
  </si>
  <si>
    <t xml:space="preserve">8.28</t>
  </si>
  <si>
    <t xml:space="preserve">Secure coding</t>
  </si>
  <si>
    <t xml:space="preserve">Required because customer-facing AI services are developed in-house, with secure-coding standards, static analysis and peer review applied to mitigate common vulnerability classes.</t>
  </si>
  <si>
    <t xml:space="preserve">POL-024 §5 Secure Coding Standard</t>
  </si>
  <si>
    <t xml:space="preserve">R-005, R-013</t>
  </si>
  <si>
    <t xml:space="preserve">8.29</t>
  </si>
  <si>
    <t xml:space="preserve">Security testing in development and acceptance</t>
  </si>
  <si>
    <t xml:space="preserve">Required to assure the security of releases prior to deployment through automated testing in pipelines and periodic independent penetration testing of the platform.</t>
  </si>
  <si>
    <t xml:space="preserve">POL-024 §6 Security Testing</t>
  </si>
  <si>
    <t xml:space="preserve">R-005, R-018</t>
  </si>
  <si>
    <t xml:space="preserve">8.30</t>
  </si>
  <si>
    <t xml:space="preserve">Outsourced development</t>
  </si>
  <si>
    <t xml:space="preserve">Required where Cloudax engages contractors or specialist agencies; outsourced development is subject to the same security obligations as in-house development, with deliverables reviewed before integration.</t>
  </si>
  <si>
    <t xml:space="preserve">POL-006 §8; POL-024 §7</t>
  </si>
  <si>
    <t xml:space="preserve">R-013, R-017</t>
  </si>
  <si>
    <t xml:space="preserve">8.31</t>
  </si>
  <si>
    <t xml:space="preserve">Separation of development, test and production environments</t>
  </si>
  <si>
    <t xml:space="preserve">Required to prevent unintended changes from reaching production and to protect production data from exposure in lower environments.</t>
  </si>
  <si>
    <t xml:space="preserve">POL-022 §4; POL-024 §8</t>
  </si>
  <si>
    <t xml:space="preserve">R-027, R-029</t>
  </si>
  <si>
    <t xml:space="preserve">8.32</t>
  </si>
  <si>
    <t xml:space="preserve">Change management</t>
  </si>
  <si>
    <t xml:space="preserve">Required to manage risk arising from changes to the platform, infrastructure and configuration through documented review, approval and rollback procedures.</t>
  </si>
  <si>
    <t xml:space="preserve">POL-025 Change Management Policy</t>
  </si>
  <si>
    <t xml:space="preserve">8.33</t>
  </si>
  <si>
    <t xml:space="preserve">Test information</t>
  </si>
  <si>
    <t xml:space="preserve">Required to prevent customer personal data from being used in test environments without appropriate masking or substitution with synthetic data.</t>
  </si>
  <si>
    <t xml:space="preserve">POL-024 §9 Test Data</t>
  </si>
  <si>
    <t xml:space="preserve">8.34</t>
  </si>
  <si>
    <t xml:space="preserve">Protection of information systems during audit testing</t>
  </si>
  <si>
    <t xml:space="preserve">Required to ensure that audit and penetration-testing activities are conducted under documented rules of engagement that protect platform availability and customer data.</t>
  </si>
  <si>
    <t xml:space="preserve">PRO-031 Audit Test Procedure</t>
  </si>
  <si>
    <t xml:space="preserve">Document Library</t>
  </si>
  <si>
    <t xml:space="preserve">ISMS documents referenced in the Statement of Applicability</t>
  </si>
  <si>
    <t xml:space="preserve">Reference</t>
  </si>
  <si>
    <t xml:space="preserve">Type</t>
  </si>
  <si>
    <t xml:space="preserve">Latest Version</t>
  </si>
  <si>
    <t xml:space="preserve">POL-001</t>
  </si>
  <si>
    <t xml:space="preserve">Information Security Policy</t>
  </si>
  <si>
    <t xml:space="preserve">Policy</t>
  </si>
  <si>
    <t xml:space="preserve">POL-002</t>
  </si>
  <si>
    <t xml:space="preserve">Access Control Policy</t>
  </si>
  <si>
    <t xml:space="preserve">POL-003</t>
  </si>
  <si>
    <t xml:space="preserve">Acceptable Use Policy</t>
  </si>
  <si>
    <t xml:space="preserve">POL-004</t>
  </si>
  <si>
    <t xml:space="preserve">Information Classification Policy</t>
  </si>
  <si>
    <t xml:space="preserve">POL-005</t>
  </si>
  <si>
    <t xml:space="preserve">Information Transfer Policy</t>
  </si>
  <si>
    <t xml:space="preserve">POL-006</t>
  </si>
  <si>
    <t xml:space="preserve">Supplier Security Policy</t>
  </si>
  <si>
    <t xml:space="preserve">POL-007</t>
  </si>
  <si>
    <t xml:space="preserve">Cloud Services Policy</t>
  </si>
  <si>
    <t xml:space="preserve">POL-008</t>
  </si>
  <si>
    <t xml:space="preserve">Intellectual Property and Software Licence Policy</t>
  </si>
  <si>
    <t xml:space="preserve">POL-009</t>
  </si>
  <si>
    <t xml:space="preserve">Records Retention Policy</t>
  </si>
  <si>
    <t xml:space="preserve">POL-010</t>
  </si>
  <si>
    <t xml:space="preserve">Privacy Policy</t>
  </si>
  <si>
    <t xml:space="preserve">POL-011</t>
  </si>
  <si>
    <t xml:space="preserve">Disciplinary Policy</t>
  </si>
  <si>
    <t xml:space="preserve">POL-012</t>
  </si>
  <si>
    <t xml:space="preserve">Remote Working Policy</t>
  </si>
  <si>
    <t xml:space="preserve">POL-013</t>
  </si>
  <si>
    <t xml:space="preserve">Removable Media Policy</t>
  </si>
  <si>
    <t xml:space="preserve">POL-014</t>
  </si>
  <si>
    <t xml:space="preserve">Vulnerability Management Standard</t>
  </si>
  <si>
    <t xml:space="preserve">POL-015</t>
  </si>
  <si>
    <t xml:space="preserve">Configuration Management Policy</t>
  </si>
  <si>
    <t xml:space="preserve">POL-016</t>
  </si>
  <si>
    <t xml:space="preserve">Data Masking Standard</t>
  </si>
  <si>
    <t xml:space="preserve">POL-017</t>
  </si>
  <si>
    <t xml:space="preserve">Data Leakage Prevention Standard</t>
  </si>
  <si>
    <t xml:space="preserve">POL-018</t>
  </si>
  <si>
    <t xml:space="preserve">Backup Policy</t>
  </si>
  <si>
    <t xml:space="preserve">POL-019</t>
  </si>
  <si>
    <t xml:space="preserve">Logging Standard</t>
  </si>
  <si>
    <t xml:space="preserve">POL-020</t>
  </si>
  <si>
    <t xml:space="preserve">Monitoring Standard</t>
  </si>
  <si>
    <t xml:space="preserve">POL-021</t>
  </si>
  <si>
    <t xml:space="preserve">Software Installation Policy</t>
  </si>
  <si>
    <t xml:space="preserve">POL-022</t>
  </si>
  <si>
    <t xml:space="preserve">Network Security Standard</t>
  </si>
  <si>
    <t xml:space="preserve">POL-023</t>
  </si>
  <si>
    <t xml:space="preserve">Cryptographic Controls Policy</t>
  </si>
  <si>
    <t xml:space="preserve">POL-024</t>
  </si>
  <si>
    <t xml:space="preserve">Secure Development Lifecycle</t>
  </si>
  <si>
    <t xml:space="preserve">POL-025</t>
  </si>
  <si>
    <t xml:space="preserve">Change Management Policy</t>
  </si>
  <si>
    <t xml:space="preserve">PLAN-IRP-001</t>
  </si>
  <si>
    <t xml:space="preserve">Incident Response Plan</t>
  </si>
  <si>
    <t xml:space="preserve">Plan</t>
  </si>
  <si>
    <t xml:space="preserve">PLAN-BCP-001</t>
  </si>
  <si>
    <t xml:space="preserve">Business Continuity Plan</t>
  </si>
  <si>
    <t xml:space="preserve">PLAN-DRP-001</t>
  </si>
  <si>
    <t xml:space="preserve">Disaster Recovery Plan</t>
  </si>
  <si>
    <t xml:space="preserve">PRO-002</t>
  </si>
  <si>
    <t xml:space="preserve">Personnel Screening Procedure</t>
  </si>
  <si>
    <t xml:space="preserve">Procedure</t>
  </si>
  <si>
    <t xml:space="preserve">PRO-005</t>
  </si>
  <si>
    <t xml:space="preserve">Joiner Mover Leaver Procedure</t>
  </si>
  <si>
    <t xml:space="preserve">PRO-008</t>
  </si>
  <si>
    <t xml:space="preserve">Project Security Procedure</t>
  </si>
  <si>
    <t xml:space="preserve">PRO-017</t>
  </si>
  <si>
    <t xml:space="preserve">Secrets Management Procedure</t>
  </si>
  <si>
    <t xml:space="preserve">PRO-021</t>
  </si>
  <si>
    <t xml:space="preserve">Software Supply Chain Procedure</t>
  </si>
  <si>
    <t xml:space="preserve">PRO-022</t>
  </si>
  <si>
    <t xml:space="preserve">Supplier Monitoring Procedure</t>
  </si>
  <si>
    <t xml:space="preserve">PRO-024</t>
  </si>
  <si>
    <t xml:space="preserve">Breach Notification Procedure</t>
  </si>
  <si>
    <t xml:space="preserve">PRO-025</t>
  </si>
  <si>
    <t xml:space="preserve">Threat Intelligence Procedure</t>
  </si>
  <si>
    <t xml:space="preserve">PRO-026</t>
  </si>
  <si>
    <t xml:space="preserve">Forensic Readiness Procedure</t>
  </si>
  <si>
    <t xml:space="preserve">PRO-027</t>
  </si>
  <si>
    <t xml:space="preserve">Event Reporting Procedure</t>
  </si>
  <si>
    <t xml:space="preserve">PRO-028</t>
  </si>
  <si>
    <t xml:space="preserve">Asset Lifecycle Procedure</t>
  </si>
  <si>
    <t xml:space="preserve">PRO-029</t>
  </si>
  <si>
    <t xml:space="preserve">Capacity Management Procedure</t>
  </si>
  <si>
    <t xml:space="preserve">PRO-030</t>
  </si>
  <si>
    <t xml:space="preserve">Restore Test Procedure</t>
  </si>
  <si>
    <t xml:space="preserve">PRO-031</t>
  </si>
  <si>
    <t xml:space="preserve">Audit Test Procedure</t>
  </si>
  <si>
    <t xml:space="preserve">REG-IAR-001</t>
  </si>
  <si>
    <t xml:space="preserve">Information Asset Register</t>
  </si>
  <si>
    <t xml:space="preserve">Register</t>
  </si>
  <si>
    <t xml:space="preserve">REG-COMP-001</t>
  </si>
  <si>
    <t xml:space="preserve">Compliance Obligations Register</t>
  </si>
  <si>
    <t xml:space="preserve">REG-ROPA-001</t>
  </si>
  <si>
    <t xml:space="preserve">Record of Processing Activities</t>
  </si>
  <si>
    <t xml:space="preserve">REG-DPIA-001</t>
  </si>
  <si>
    <t xml:space="preserve">DPIA Register</t>
  </si>
  <si>
    <t xml:space="preserve">REG-RISK-001</t>
  </si>
  <si>
    <t xml:space="preserve">Risk Register</t>
  </si>
  <si>
    <t xml:space="preserve">REG-AUTH-001</t>
  </si>
  <si>
    <t xml:space="preserve">Authority Contact Register</t>
  </si>
  <si>
    <t xml:space="preserve">PROG-AUDIT-001</t>
  </si>
  <si>
    <t xml:space="preserve">Internal Audit Programme</t>
  </si>
  <si>
    <t xml:space="preserve">Programme</t>
  </si>
  <si>
    <t xml:space="preserve">PROG-COMP-001</t>
  </si>
  <si>
    <t xml:space="preserve">Compliance Monitoring Schedule</t>
  </si>
  <si>
    <t xml:space="preserve">PROG-TRAIN-001</t>
  </si>
  <si>
    <t xml:space="preserve">Awareness Training Programme</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</si>
</sst>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0A2540"/>
      <name val="Arial"/>
      <family val="0"/>
      <charset val="1"/>
    </font>
    <font>
      <i val="true"/>
      <sz val="11"/>
      <color rgb="FF5B6573"/>
      <name val="Arial"/>
      <family val="0"/>
      <charset val="1"/>
    </font>
    <font>
      <i val="true"/>
      <sz val="10"/>
      <color rgb="FF5B6573"/>
      <name val="Arial"/>
      <family val="0"/>
      <charset val="1"/>
    </font>
    <font>
      <b val="true"/>
      <sz val="13"/>
      <color rgb="FF0A2540"/>
      <name val="Arial"/>
      <family val="0"/>
      <charset val="1"/>
    </font>
    <font>
      <b val="true"/>
      <sz val="9"/>
      <color rgb="FF5B6573"/>
      <name val="Arial"/>
      <family val="0"/>
      <charset val="1"/>
    </font>
    <font>
      <sz val="10"/>
      <color rgb="FF1F2937"/>
      <name val="Arial"/>
      <family val="0"/>
      <charset val="1"/>
    </font>
    <font>
      <b val="true"/>
      <sz val="10"/>
      <color rgb="FFFFFFFF"/>
      <name val="Arial"/>
      <family val="0"/>
      <charset val="1"/>
    </font>
    <font>
      <b val="true"/>
      <sz val="10"/>
      <color rgb="FF1F2937"/>
      <name val="Arial"/>
      <family val="0"/>
      <charset val="1"/>
    </font>
    <font>
      <b val="true"/>
      <sz val="11"/>
      <color rgb="FFFFFFFF"/>
      <name val="Arial"/>
      <family val="0"/>
      <charset val="1"/>
    </font>
  </fonts>
  <fills count="4">
    <fill>
      <patternFill patternType="none"/>
    </fill>
    <fill>
      <patternFill patternType="gray125"/>
    </fill>
    <fill>
      <patternFill patternType="solid">
        <fgColor rgb="FFF4F6F9"/>
        <bgColor rgb="FFFFFFFF"/>
      </patternFill>
    </fill>
    <fill>
      <patternFill patternType="solid">
        <fgColor rgb="FF0A2540"/>
        <bgColor rgb="FF1F2937"/>
      </patternFill>
    </fill>
  </fills>
  <borders count="3">
    <border diagonalUp="false" diagonalDown="false">
      <left/>
      <right/>
      <top/>
      <bottom/>
      <diagonal/>
    </border>
    <border diagonalUp="false" diagonalDown="false">
      <left style="thin">
        <color rgb="FFC8CDD4"/>
      </left>
      <right/>
      <top style="thin">
        <color rgb="FFC8CDD4"/>
      </top>
      <bottom style="thin">
        <color rgb="FFC8CDD4"/>
      </bottom>
      <diagonal/>
    </border>
    <border diagonalUp="false" diagonalDown="false">
      <left style="thin">
        <color rgb="FFC8CDD4"/>
      </left>
      <right style="thin">
        <color rgb="FFC8CDD4"/>
      </right>
      <top style="thin">
        <color rgb="FFC8CDD4"/>
      </top>
      <bottom style="thin">
        <color rgb="FFC8C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top" textRotation="0" wrapText="true" indent="1"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left" vertical="center" textRotation="0" wrapText="true" indent="1" shrinkToFit="false"/>
      <protection locked="true" hidden="false"/>
    </xf>
    <xf numFmtId="164" fontId="9" fillId="0" borderId="2" xfId="0" applyFont="true" applyBorder="true" applyAlignment="true" applyProtection="false">
      <alignment horizontal="left" vertical="center" textRotation="0" wrapText="true" indent="1" shrinkToFit="false"/>
      <protection locked="true" hidden="false"/>
    </xf>
    <xf numFmtId="164" fontId="9" fillId="2" borderId="1" xfId="0" applyFont="true" applyBorder="true" applyAlignment="true" applyProtection="false">
      <alignment horizontal="left" vertical="top" textRotation="0" wrapText="true" indent="1"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5" fontId="11" fillId="0"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2" fillId="3" borderId="2" xfId="0" applyFont="true" applyBorder="true" applyAlignment="true" applyProtection="false">
      <alignment horizontal="left" vertical="center" textRotation="0" wrapText="true" indent="1" shrinkToFit="false"/>
      <protection locked="true" hidden="false"/>
    </xf>
    <xf numFmtId="164" fontId="9" fillId="2" borderId="2" xfId="0" applyFont="true" applyBorder="true" applyAlignment="true" applyProtection="false">
      <alignment horizontal="center" vertical="top" textRotation="0" wrapText="true" indent="0" shrinkToFit="false"/>
      <protection locked="true" hidden="false"/>
    </xf>
    <xf numFmtId="164" fontId="9" fillId="2" borderId="2" xfId="0" applyFont="true" applyBorder="true" applyAlignment="true" applyProtection="false">
      <alignment horizontal="left" vertical="top" textRotation="0" wrapText="true" indent="1" shrinkToFit="false"/>
      <protection locked="true" hidden="false"/>
    </xf>
    <xf numFmtId="164" fontId="9" fillId="2" borderId="2" xfId="0" applyFont="true" applyBorder="true" applyAlignment="true" applyProtection="false">
      <alignment horizontal="left" vertical="center" textRotation="0" wrapText="true" indent="1" shrinkToFit="false"/>
      <protection locked="true" hidden="false"/>
    </xf>
    <xf numFmtId="164" fontId="9" fillId="0" borderId="2" xfId="0" applyFont="true" applyBorder="true" applyAlignment="true" applyProtection="false">
      <alignment horizontal="center"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left" vertical="center" textRotation="0" wrapText="true" indent="1"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left" vertical="center" textRotation="0" wrapText="true" indent="1"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0A2540"/>
          <bgColor rgb="FF000000"/>
        </patternFill>
      </fill>
    </dxf>
    <dxf>
      <fill>
        <patternFill patternType="solid">
          <fgColor rgb="FFF4F6F9"/>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CFCE7"/>
          <bgColor rgb="FF000000"/>
        </patternFill>
      </fill>
    </dxf>
    <dxf>
      <fill>
        <patternFill patternType="solid">
          <fgColor rgb="FF166534"/>
          <bgColor rgb="FF000000"/>
        </patternFill>
      </fill>
    </dxf>
    <dxf>
      <fill>
        <patternFill patternType="solid">
          <fgColor rgb="FFE5E7EB"/>
          <bgColor rgb="FF000000"/>
        </patternFill>
      </fill>
    </dxf>
    <dxf>
      <fill>
        <patternFill patternType="solid">
          <fgColor rgb="FFFEF3C7"/>
          <bgColor rgb="FF000000"/>
        </patternFill>
      </fill>
    </dxf>
    <dxf>
      <fill>
        <patternFill patternType="solid">
          <fgColor rgb="FF374151"/>
          <bgColor rgb="FF000000"/>
        </patternFill>
      </fill>
    </dxf>
    <dxf>
      <fill>
        <patternFill patternType="solid">
          <fgColor rgb="FF92400E"/>
          <bgColor rgb="FF000000"/>
        </patternFill>
      </fill>
    </dxf>
    <dxf>
      <font>
        <name val="Arial"/>
        <charset val="1"/>
        <family val="0"/>
        <b val="1"/>
        <color rgb="FF166534"/>
        <sz val="10"/>
      </font>
      <fill>
        <patternFill>
          <bgColor rgb="FFDCFCE7"/>
        </patternFill>
      </fill>
    </dxf>
    <dxf>
      <font>
        <name val="Arial"/>
        <charset val="1"/>
        <family val="0"/>
        <b val="1"/>
        <color rgb="FF92400E"/>
        <sz val="10"/>
      </font>
      <fill>
        <patternFill>
          <bgColor rgb="FFFEF3C7"/>
        </patternFill>
      </fill>
    </dxf>
    <dxf>
      <font>
        <name val="Arial"/>
        <charset val="1"/>
        <family val="0"/>
        <b val="1"/>
        <color rgb="FF374151"/>
        <sz val="10"/>
      </font>
      <fill>
        <patternFill>
          <bgColor rgb="FFE5E7EB"/>
        </patternFill>
      </fill>
    </dxf>
    <dxf>
      <font>
        <name val="Arial"/>
        <charset val="1"/>
        <family val="0"/>
        <b val="1"/>
        <color rgb="FF991B1B"/>
        <sz val="10"/>
      </font>
      <fill>
        <patternFill>
          <bgColor rgb="FFFEE2E2"/>
        </patternFill>
      </fill>
    </dxf>
  </dxfs>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C8CDD4"/>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9"/>
      <rgbColor rgb="FFE5E7EB"/>
      <rgbColor rgb="FFFFFF99"/>
      <rgbColor rgb="FF99CCFF"/>
      <rgbColor rgb="FFFF99CC"/>
      <rgbColor rgb="FFCC99FF"/>
      <rgbColor rgb="FFFEE2E2"/>
      <rgbColor rgb="FF3366FF"/>
      <rgbColor rgb="FF33CCCC"/>
      <rgbColor rgb="FF99CC00"/>
      <rgbColor rgb="FFFFCC00"/>
      <rgbColor rgb="FFFF9900"/>
      <rgbColor rgb="FFFF6600"/>
      <rgbColor rgb="FF5B6573"/>
      <rgbColor rgb="FF969696"/>
      <rgbColor rgb="FF0A2540"/>
      <rgbColor rgb="FF339966"/>
      <rgbColor rgb="FF003300"/>
      <rgbColor rgb="FF333300"/>
      <rgbColor rgb="FF92400E"/>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
    <col collapsed="false" customWidth="true" hidden="false" outlineLevel="0" max="2" min="2" style="0" width="32"/>
    <col collapsed="false" customWidth="true" hidden="false" outlineLevel="0" max="3" min="3" style="0" width="70"/>
    <col collapsed="false" customWidth="true" hidden="false" outlineLevel="0" max="4" min="4" style="0" width="1"/>
  </cols>
  <sheetData>
    <row r="2" customFormat="false" ht="36" hidden="false" customHeight="true" outlineLevel="0" collapsed="false">
      <c r="B2" s="1" t="s">
        <v>0</v>
      </c>
      <c r="C2" s="1"/>
    </row>
    <row r="3" customFormat="false" ht="21.75" hidden="false" customHeight="true" outlineLevel="0" collapsed="false">
      <c r="B3" s="2" t="s">
        <v>1</v>
      </c>
      <c r="C3" s="2"/>
    </row>
    <row r="4" customFormat="false" ht="7.5" hidden="false" customHeight="true" outlineLevel="0" collapsed="false"/>
    <row r="5" customFormat="false" ht="79.5" hidden="false" customHeight="true" outlineLevel="0" collapsed="false">
      <c r="B5" s="3" t="s">
        <v>2</v>
      </c>
      <c r="C5" s="3"/>
    </row>
    <row r="7" customFormat="false" ht="21.75" hidden="false" customHeight="true" outlineLevel="0" collapsed="false">
      <c r="B7" s="4" t="s">
        <v>3</v>
      </c>
      <c r="C7" s="4"/>
    </row>
    <row r="8" customFormat="false" ht="19.5" hidden="false" customHeight="true" outlineLevel="0" collapsed="false">
      <c r="B8" s="5" t="s">
        <v>4</v>
      </c>
      <c r="C8" s="6" t="s">
        <v>5</v>
      </c>
    </row>
    <row r="9" customFormat="false" ht="19.5" hidden="false" customHeight="true" outlineLevel="0" collapsed="false">
      <c r="B9" s="5" t="s">
        <v>6</v>
      </c>
      <c r="C9" s="6" t="s">
        <v>7</v>
      </c>
    </row>
    <row r="10" customFormat="false" ht="19.5" hidden="false" customHeight="true" outlineLevel="0" collapsed="false">
      <c r="B10" s="5" t="s">
        <v>8</v>
      </c>
      <c r="C10" s="6" t="s">
        <v>9</v>
      </c>
    </row>
    <row r="11" customFormat="false" ht="19.5" hidden="false" customHeight="true" outlineLevel="0" collapsed="false">
      <c r="B11" s="5" t="s">
        <v>10</v>
      </c>
      <c r="C11" s="6" t="s">
        <v>11</v>
      </c>
    </row>
    <row r="12" customFormat="false" ht="19.5" hidden="false" customHeight="true" outlineLevel="0" collapsed="false">
      <c r="B12" s="5" t="s">
        <v>12</v>
      </c>
      <c r="C12" s="6" t="s">
        <v>13</v>
      </c>
    </row>
    <row r="13" customFormat="false" ht="19.5" hidden="false" customHeight="true" outlineLevel="0" collapsed="false">
      <c r="B13" s="5" t="s">
        <v>14</v>
      </c>
      <c r="C13" s="6" t="s">
        <v>15</v>
      </c>
    </row>
    <row r="14" customFormat="false" ht="19.5" hidden="false" customHeight="true" outlineLevel="0" collapsed="false">
      <c r="B14" s="5" t="s">
        <v>16</v>
      </c>
      <c r="C14" s="6" t="s">
        <v>17</v>
      </c>
    </row>
    <row r="15" customFormat="false" ht="19.5" hidden="false" customHeight="true" outlineLevel="0" collapsed="false">
      <c r="B15" s="5" t="s">
        <v>18</v>
      </c>
      <c r="C15" s="6" t="s">
        <v>19</v>
      </c>
    </row>
    <row r="16" customFormat="false" ht="19.5" hidden="false" customHeight="true" outlineLevel="0" collapsed="false">
      <c r="B16" s="5" t="s">
        <v>20</v>
      </c>
      <c r="C16" s="6" t="s">
        <v>21</v>
      </c>
    </row>
    <row r="17" customFormat="false" ht="19.5" hidden="false" customHeight="true" outlineLevel="0" collapsed="false">
      <c r="B17" s="5" t="s">
        <v>22</v>
      </c>
      <c r="C17" s="6" t="s">
        <v>23</v>
      </c>
    </row>
    <row r="18" customFormat="false" ht="19.5" hidden="false" customHeight="true" outlineLevel="0" collapsed="false">
      <c r="B18" s="5" t="s">
        <v>24</v>
      </c>
      <c r="C18" s="6" t="s">
        <v>25</v>
      </c>
    </row>
    <row r="19" customFormat="false" ht="19.5" hidden="false" customHeight="true" outlineLevel="0" collapsed="false">
      <c r="B19" s="5" t="s">
        <v>26</v>
      </c>
      <c r="C19" s="6" t="s">
        <v>27</v>
      </c>
    </row>
    <row r="22" customFormat="false" ht="16.15" hidden="false" customHeight="false" outlineLevel="0" collapsed="false">
      <c r="B22" s="4" t="s">
        <v>28</v>
      </c>
      <c r="C22" s="4"/>
    </row>
    <row r="23" customFormat="false" ht="79.5" hidden="false" customHeight="true" outlineLevel="0" collapsed="false">
      <c r="B23" s="7" t="s">
        <v>29</v>
      </c>
      <c r="C23" s="7"/>
    </row>
    <row r="25" customFormat="false" ht="16.15" hidden="false" customHeight="false" outlineLevel="0" collapsed="false">
      <c r="B25" s="4" t="s">
        <v>30</v>
      </c>
      <c r="C25" s="4"/>
    </row>
    <row r="26" customFormat="false" ht="21.75" hidden="false" customHeight="true" outlineLevel="0" collapsed="false">
      <c r="B26" s="8" t="s">
        <v>31</v>
      </c>
      <c r="C26" s="8" t="s">
        <v>32</v>
      </c>
    </row>
    <row r="27" customFormat="false" ht="19.5" hidden="false" customHeight="true" outlineLevel="0" collapsed="false">
      <c r="B27" s="6" t="s">
        <v>33</v>
      </c>
      <c r="C27" s="9" t="n">
        <f aca="false">COUNTA(SoA!G:G)-1</f>
        <v>93</v>
      </c>
    </row>
    <row r="28" customFormat="false" ht="19.5" hidden="false" customHeight="true" outlineLevel="0" collapsed="false">
      <c r="B28" s="6" t="s">
        <v>34</v>
      </c>
      <c r="C28" s="9" t="n">
        <f aca="false">COUNTIF(SoA!E:E,"Y")</f>
        <v>93</v>
      </c>
    </row>
    <row r="29" customFormat="false" ht="19.5" hidden="false" customHeight="true" outlineLevel="0" collapsed="false">
      <c r="B29" s="6" t="s">
        <v>35</v>
      </c>
      <c r="C29" s="9" t="n">
        <f aca="false">COUNTIF(SoA!E:E,"N")</f>
        <v>0</v>
      </c>
    </row>
    <row r="30" customFormat="false" ht="19.5" hidden="false" customHeight="true" outlineLevel="0" collapsed="false">
      <c r="B30" s="6" t="s">
        <v>36</v>
      </c>
      <c r="C30" s="9" t="n">
        <f aca="false">COUNTIF(SoA!G:G,"Implemented")</f>
        <v>26</v>
      </c>
    </row>
    <row r="31" customFormat="false" ht="19.5" hidden="false" customHeight="true" outlineLevel="0" collapsed="false">
      <c r="B31" s="6" t="s">
        <v>37</v>
      </c>
      <c r="C31" s="9" t="n">
        <f aca="false">COUNTIF(SoA!G:G,"Partially Implemented")</f>
        <v>40</v>
      </c>
    </row>
    <row r="32" customFormat="false" ht="19.5" hidden="false" customHeight="true" outlineLevel="0" collapsed="false">
      <c r="B32" s="6" t="s">
        <v>38</v>
      </c>
      <c r="C32" s="9" t="n">
        <f aca="false">COUNTIF(SoA!G:G,"Planned")</f>
        <v>27</v>
      </c>
    </row>
    <row r="33" customFormat="false" ht="19.5" hidden="false" customHeight="true" outlineLevel="0" collapsed="false">
      <c r="B33" s="6" t="s">
        <v>39</v>
      </c>
      <c r="C33" s="9" t="n">
        <f aca="false">COUNTIF(SoA!G:G,"Not Implemented")</f>
        <v>0</v>
      </c>
    </row>
  </sheetData>
  <mergeCells count="7">
    <mergeCell ref="B2:C2"/>
    <mergeCell ref="B3:C3"/>
    <mergeCell ref="B5:C5"/>
    <mergeCell ref="B7:C7"/>
    <mergeCell ref="B22:C22"/>
    <mergeCell ref="B23:C23"/>
    <mergeCell ref="B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2"/>
    <col collapsed="false" customWidth="true" hidden="false" outlineLevel="0" max="4" min="4" style="0" width="14"/>
    <col collapsed="false" customWidth="true" hidden="false" outlineLevel="0" max="5" min="5" style="0" width="11"/>
    <col collapsed="false" customWidth="true" hidden="false" outlineLevel="0" max="6" min="6" style="0" width="60"/>
    <col collapsed="false" customWidth="true" hidden="false" outlineLevel="0" max="7" min="7" style="0" width="21"/>
    <col collapsed="false" customWidth="true" hidden="false" outlineLevel="0" max="8" min="8" style="0" width="38"/>
    <col collapsed="false" customWidth="true" hidden="false" outlineLevel="0" max="9" min="9" style="0" width="9"/>
    <col collapsed="false" customWidth="true" hidden="false" outlineLevel="0" max="10" min="10" style="0" width="18"/>
    <col collapsed="false" customWidth="true" hidden="false" outlineLevel="0" max="11" min="11" style="0" width="13"/>
  </cols>
  <sheetData>
    <row r="1" customFormat="false" ht="3.75" hidden="false" customHeight="true" outlineLevel="0" collapsed="false"/>
    <row r="2" customFormat="false" ht="27.75" hidden="false" customHeight="true" outlineLevel="0" collapsed="false">
      <c r="B2" s="10" t="s">
        <v>5</v>
      </c>
    </row>
    <row r="3" customFormat="false" ht="18" hidden="false" customHeight="true" outlineLevel="0" collapsed="false">
      <c r="B3" s="11" t="s">
        <v>40</v>
      </c>
    </row>
    <row r="4" customFormat="false" ht="7.5" hidden="false" customHeight="true" outlineLevel="0" collapsed="false"/>
    <row r="5" customFormat="false" ht="7.5" hidden="false" customHeight="true" outlineLevel="0" collapsed="false"/>
    <row r="6" customFormat="false" ht="27.75" hidden="false" customHeight="true" outlineLevel="0" collapsed="false">
      <c r="B6" s="8" t="s">
        <v>41</v>
      </c>
      <c r="C6" s="8" t="s">
        <v>42</v>
      </c>
      <c r="D6" s="8" t="s">
        <v>43</v>
      </c>
      <c r="E6" s="8" t="s">
        <v>44</v>
      </c>
      <c r="F6" s="8" t="s">
        <v>45</v>
      </c>
      <c r="G6" s="8" t="s">
        <v>10</v>
      </c>
      <c r="H6" s="8" t="s">
        <v>6</v>
      </c>
      <c r="I6" s="8" t="s">
        <v>46</v>
      </c>
      <c r="J6" s="8" t="s">
        <v>47</v>
      </c>
      <c r="K6" s="8" t="s">
        <v>48</v>
      </c>
    </row>
    <row r="7" customFormat="false" ht="21.75" hidden="false" customHeight="true" outlineLevel="0" collapsed="false">
      <c r="B7" s="12" t="s">
        <v>49</v>
      </c>
      <c r="C7" s="12"/>
      <c r="D7" s="12"/>
      <c r="E7" s="12"/>
      <c r="F7" s="12"/>
      <c r="G7" s="12"/>
      <c r="H7" s="12"/>
      <c r="I7" s="12"/>
      <c r="J7" s="12"/>
      <c r="K7" s="12"/>
    </row>
    <row r="8" customFormat="false" ht="75" hidden="false" customHeight="true" outlineLevel="0" collapsed="false">
      <c r="B8" s="13" t="s">
        <v>50</v>
      </c>
      <c r="C8" s="14" t="s">
        <v>51</v>
      </c>
      <c r="D8" s="15" t="s">
        <v>52</v>
      </c>
      <c r="E8" s="13" t="s">
        <v>53</v>
      </c>
      <c r="F8" s="14" t="s">
        <v>54</v>
      </c>
      <c r="G8" s="13" t="s">
        <v>55</v>
      </c>
      <c r="H8" s="14" t="s">
        <v>56</v>
      </c>
      <c r="I8" s="13" t="s">
        <v>57</v>
      </c>
      <c r="J8" s="14" t="s">
        <v>58</v>
      </c>
      <c r="K8" s="13"/>
    </row>
    <row r="9" customFormat="false" ht="75" hidden="false" customHeight="true" outlineLevel="0" collapsed="false">
      <c r="B9" s="16" t="s">
        <v>59</v>
      </c>
      <c r="C9" s="17" t="s">
        <v>60</v>
      </c>
      <c r="D9" s="6" t="s">
        <v>52</v>
      </c>
      <c r="E9" s="16" t="s">
        <v>53</v>
      </c>
      <c r="F9" s="17" t="s">
        <v>61</v>
      </c>
      <c r="G9" s="16" t="s">
        <v>55</v>
      </c>
      <c r="H9" s="17" t="s">
        <v>62</v>
      </c>
      <c r="I9" s="16" t="s">
        <v>57</v>
      </c>
      <c r="J9" s="17" t="s">
        <v>58</v>
      </c>
      <c r="K9" s="16"/>
    </row>
    <row r="10" customFormat="false" ht="75" hidden="false" customHeight="true" outlineLevel="0" collapsed="false">
      <c r="B10" s="13" t="s">
        <v>63</v>
      </c>
      <c r="C10" s="14" t="s">
        <v>64</v>
      </c>
      <c r="D10" s="15" t="s">
        <v>52</v>
      </c>
      <c r="E10" s="13" t="s">
        <v>53</v>
      </c>
      <c r="F10" s="14" t="s">
        <v>65</v>
      </c>
      <c r="G10" s="13" t="s">
        <v>66</v>
      </c>
      <c r="H10" s="14" t="s">
        <v>67</v>
      </c>
      <c r="I10" s="13" t="s">
        <v>68</v>
      </c>
      <c r="J10" s="14" t="s">
        <v>69</v>
      </c>
      <c r="K10" s="13"/>
    </row>
    <row r="11" customFormat="false" ht="75" hidden="false" customHeight="true" outlineLevel="0" collapsed="false">
      <c r="B11" s="16" t="s">
        <v>70</v>
      </c>
      <c r="C11" s="17" t="s">
        <v>71</v>
      </c>
      <c r="D11" s="6" t="s">
        <v>52</v>
      </c>
      <c r="E11" s="16" t="s">
        <v>53</v>
      </c>
      <c r="F11" s="17" t="s">
        <v>72</v>
      </c>
      <c r="G11" s="16" t="s">
        <v>55</v>
      </c>
      <c r="H11" s="17" t="s">
        <v>73</v>
      </c>
      <c r="I11" s="16" t="s">
        <v>74</v>
      </c>
      <c r="J11" s="17" t="s">
        <v>58</v>
      </c>
      <c r="K11" s="16"/>
    </row>
    <row r="12" customFormat="false" ht="75" hidden="false" customHeight="true" outlineLevel="0" collapsed="false">
      <c r="B12" s="13" t="s">
        <v>75</v>
      </c>
      <c r="C12" s="14" t="s">
        <v>76</v>
      </c>
      <c r="D12" s="15" t="s">
        <v>52</v>
      </c>
      <c r="E12" s="13" t="s">
        <v>53</v>
      </c>
      <c r="F12" s="14" t="s">
        <v>77</v>
      </c>
      <c r="G12" s="13" t="s">
        <v>55</v>
      </c>
      <c r="H12" s="14" t="s">
        <v>78</v>
      </c>
      <c r="I12" s="13" t="s">
        <v>79</v>
      </c>
      <c r="J12" s="14" t="s">
        <v>80</v>
      </c>
      <c r="K12" s="13"/>
    </row>
    <row r="13" customFormat="false" ht="75" hidden="false" customHeight="true" outlineLevel="0" collapsed="false">
      <c r="B13" s="16" t="s">
        <v>81</v>
      </c>
      <c r="C13" s="17" t="s">
        <v>82</v>
      </c>
      <c r="D13" s="6" t="s">
        <v>52</v>
      </c>
      <c r="E13" s="16" t="s">
        <v>53</v>
      </c>
      <c r="F13" s="17" t="s">
        <v>83</v>
      </c>
      <c r="G13" s="16" t="s">
        <v>55</v>
      </c>
      <c r="H13" s="17" t="s">
        <v>84</v>
      </c>
      <c r="I13" s="16" t="s">
        <v>57</v>
      </c>
      <c r="J13" s="17" t="s">
        <v>85</v>
      </c>
      <c r="K13" s="16"/>
    </row>
    <row r="14" customFormat="false" ht="75" hidden="false" customHeight="true" outlineLevel="0" collapsed="false">
      <c r="B14" s="13" t="s">
        <v>86</v>
      </c>
      <c r="C14" s="14" t="s">
        <v>87</v>
      </c>
      <c r="D14" s="15" t="s">
        <v>52</v>
      </c>
      <c r="E14" s="13" t="s">
        <v>53</v>
      </c>
      <c r="F14" s="14" t="s">
        <v>88</v>
      </c>
      <c r="G14" s="13" t="s">
        <v>55</v>
      </c>
      <c r="H14" s="14" t="s">
        <v>89</v>
      </c>
      <c r="I14" s="13" t="s">
        <v>57</v>
      </c>
      <c r="J14" s="14" t="s">
        <v>90</v>
      </c>
      <c r="K14" s="13"/>
    </row>
    <row r="15" customFormat="false" ht="75" hidden="false" customHeight="true" outlineLevel="0" collapsed="false">
      <c r="B15" s="16" t="s">
        <v>91</v>
      </c>
      <c r="C15" s="17" t="s">
        <v>92</v>
      </c>
      <c r="D15" s="6" t="s">
        <v>52</v>
      </c>
      <c r="E15" s="16" t="s">
        <v>53</v>
      </c>
      <c r="F15" s="17" t="s">
        <v>93</v>
      </c>
      <c r="G15" s="16" t="s">
        <v>55</v>
      </c>
      <c r="H15" s="17" t="s">
        <v>94</v>
      </c>
      <c r="I15" s="16" t="s">
        <v>68</v>
      </c>
      <c r="J15" s="17" t="s">
        <v>95</v>
      </c>
      <c r="K15" s="16"/>
    </row>
    <row r="16" customFormat="false" ht="75" hidden="false" customHeight="true" outlineLevel="0" collapsed="false">
      <c r="B16" s="13" t="s">
        <v>96</v>
      </c>
      <c r="C16" s="14" t="s">
        <v>97</v>
      </c>
      <c r="D16" s="15" t="s">
        <v>52</v>
      </c>
      <c r="E16" s="13" t="s">
        <v>53</v>
      </c>
      <c r="F16" s="14" t="s">
        <v>98</v>
      </c>
      <c r="G16" s="13" t="s">
        <v>66</v>
      </c>
      <c r="H16" s="14" t="s">
        <v>99</v>
      </c>
      <c r="I16" s="13" t="s">
        <v>68</v>
      </c>
      <c r="J16" s="14" t="s">
        <v>100</v>
      </c>
      <c r="K16" s="13"/>
    </row>
    <row r="17" customFormat="false" ht="75" hidden="false" customHeight="true" outlineLevel="0" collapsed="false">
      <c r="B17" s="16" t="s">
        <v>101</v>
      </c>
      <c r="C17" s="17" t="s">
        <v>102</v>
      </c>
      <c r="D17" s="6" t="s">
        <v>52</v>
      </c>
      <c r="E17" s="16" t="s">
        <v>53</v>
      </c>
      <c r="F17" s="17" t="s">
        <v>103</v>
      </c>
      <c r="G17" s="16" t="s">
        <v>55</v>
      </c>
      <c r="H17" s="17" t="s">
        <v>104</v>
      </c>
      <c r="I17" s="16" t="s">
        <v>57</v>
      </c>
      <c r="J17" s="17" t="s">
        <v>105</v>
      </c>
      <c r="K17" s="16"/>
    </row>
    <row r="18" customFormat="false" ht="75" hidden="false" customHeight="true" outlineLevel="0" collapsed="false">
      <c r="B18" s="13" t="s">
        <v>106</v>
      </c>
      <c r="C18" s="14" t="s">
        <v>107</v>
      </c>
      <c r="D18" s="15" t="s">
        <v>52</v>
      </c>
      <c r="E18" s="13" t="s">
        <v>53</v>
      </c>
      <c r="F18" s="14" t="s">
        <v>108</v>
      </c>
      <c r="G18" s="13" t="s">
        <v>66</v>
      </c>
      <c r="H18" s="14" t="s">
        <v>109</v>
      </c>
      <c r="I18" s="13" t="s">
        <v>110</v>
      </c>
      <c r="J18" s="14" t="s">
        <v>111</v>
      </c>
      <c r="K18" s="13"/>
    </row>
    <row r="19" customFormat="false" ht="75" hidden="false" customHeight="true" outlineLevel="0" collapsed="false">
      <c r="B19" s="16" t="s">
        <v>112</v>
      </c>
      <c r="C19" s="17" t="s">
        <v>113</v>
      </c>
      <c r="D19" s="6" t="s">
        <v>52</v>
      </c>
      <c r="E19" s="16" t="s">
        <v>53</v>
      </c>
      <c r="F19" s="17" t="s">
        <v>114</v>
      </c>
      <c r="G19" s="16" t="s">
        <v>55</v>
      </c>
      <c r="H19" s="17" t="s">
        <v>115</v>
      </c>
      <c r="I19" s="16" t="s">
        <v>79</v>
      </c>
      <c r="J19" s="17" t="s">
        <v>116</v>
      </c>
      <c r="K19" s="16"/>
    </row>
    <row r="20" customFormat="false" ht="75" hidden="false" customHeight="true" outlineLevel="0" collapsed="false">
      <c r="B20" s="13" t="s">
        <v>117</v>
      </c>
      <c r="C20" s="14" t="s">
        <v>118</v>
      </c>
      <c r="D20" s="15" t="s">
        <v>52</v>
      </c>
      <c r="E20" s="13" t="s">
        <v>53</v>
      </c>
      <c r="F20" s="14" t="s">
        <v>119</v>
      </c>
      <c r="G20" s="13" t="s">
        <v>55</v>
      </c>
      <c r="H20" s="14" t="s">
        <v>120</v>
      </c>
      <c r="I20" s="13" t="s">
        <v>68</v>
      </c>
      <c r="J20" s="14" t="s">
        <v>116</v>
      </c>
      <c r="K20" s="13"/>
    </row>
    <row r="21" customFormat="false" ht="75" hidden="false" customHeight="true" outlineLevel="0" collapsed="false">
      <c r="B21" s="16" t="s">
        <v>121</v>
      </c>
      <c r="C21" s="17" t="s">
        <v>122</v>
      </c>
      <c r="D21" s="6" t="s">
        <v>52</v>
      </c>
      <c r="E21" s="16" t="s">
        <v>53</v>
      </c>
      <c r="F21" s="17" t="s">
        <v>123</v>
      </c>
      <c r="G21" s="16" t="s">
        <v>66</v>
      </c>
      <c r="H21" s="17" t="s">
        <v>124</v>
      </c>
      <c r="I21" s="16" t="s">
        <v>57</v>
      </c>
      <c r="J21" s="17" t="s">
        <v>125</v>
      </c>
      <c r="K21" s="16"/>
    </row>
    <row r="22" customFormat="false" ht="75" hidden="false" customHeight="true" outlineLevel="0" collapsed="false">
      <c r="B22" s="13" t="s">
        <v>126</v>
      </c>
      <c r="C22" s="14" t="s">
        <v>127</v>
      </c>
      <c r="D22" s="15" t="s">
        <v>52</v>
      </c>
      <c r="E22" s="13" t="s">
        <v>53</v>
      </c>
      <c r="F22" s="14" t="s">
        <v>128</v>
      </c>
      <c r="G22" s="13" t="s">
        <v>66</v>
      </c>
      <c r="H22" s="14" t="s">
        <v>129</v>
      </c>
      <c r="I22" s="13" t="s">
        <v>57</v>
      </c>
      <c r="J22" s="14" t="s">
        <v>130</v>
      </c>
      <c r="K22" s="13"/>
    </row>
    <row r="23" customFormat="false" ht="75" hidden="false" customHeight="true" outlineLevel="0" collapsed="false">
      <c r="B23" s="16" t="s">
        <v>131</v>
      </c>
      <c r="C23" s="17" t="s">
        <v>132</v>
      </c>
      <c r="D23" s="6" t="s">
        <v>52</v>
      </c>
      <c r="E23" s="16" t="s">
        <v>53</v>
      </c>
      <c r="F23" s="17" t="s">
        <v>133</v>
      </c>
      <c r="G23" s="16" t="s">
        <v>134</v>
      </c>
      <c r="H23" s="17" t="s">
        <v>135</v>
      </c>
      <c r="I23" s="16" t="s">
        <v>68</v>
      </c>
      <c r="J23" s="17" t="s">
        <v>130</v>
      </c>
      <c r="K23" s="16"/>
    </row>
    <row r="24" customFormat="false" ht="75" hidden="false" customHeight="true" outlineLevel="0" collapsed="false">
      <c r="B24" s="13" t="s">
        <v>136</v>
      </c>
      <c r="C24" s="14" t="s">
        <v>137</v>
      </c>
      <c r="D24" s="15" t="s">
        <v>52</v>
      </c>
      <c r="E24" s="13" t="s">
        <v>53</v>
      </c>
      <c r="F24" s="14" t="s">
        <v>138</v>
      </c>
      <c r="G24" s="13" t="s">
        <v>134</v>
      </c>
      <c r="H24" s="14" t="s">
        <v>139</v>
      </c>
      <c r="I24" s="13" t="s">
        <v>68</v>
      </c>
      <c r="J24" s="14" t="s">
        <v>140</v>
      </c>
      <c r="K24" s="13"/>
    </row>
    <row r="25" customFormat="false" ht="75" hidden="false" customHeight="true" outlineLevel="0" collapsed="false">
      <c r="B25" s="16" t="s">
        <v>141</v>
      </c>
      <c r="C25" s="17" t="s">
        <v>142</v>
      </c>
      <c r="D25" s="6" t="s">
        <v>52</v>
      </c>
      <c r="E25" s="16" t="s">
        <v>53</v>
      </c>
      <c r="F25" s="17" t="s">
        <v>143</v>
      </c>
      <c r="G25" s="16" t="s">
        <v>55</v>
      </c>
      <c r="H25" s="17" t="s">
        <v>144</v>
      </c>
      <c r="I25" s="16" t="s">
        <v>110</v>
      </c>
      <c r="J25" s="17" t="s">
        <v>111</v>
      </c>
      <c r="K25" s="16"/>
    </row>
    <row r="26" customFormat="false" ht="75" hidden="false" customHeight="true" outlineLevel="0" collapsed="false">
      <c r="B26" s="13" t="s">
        <v>145</v>
      </c>
      <c r="C26" s="14" t="s">
        <v>146</v>
      </c>
      <c r="D26" s="15" t="s">
        <v>52</v>
      </c>
      <c r="E26" s="13" t="s">
        <v>53</v>
      </c>
      <c r="F26" s="14" t="s">
        <v>147</v>
      </c>
      <c r="G26" s="13" t="s">
        <v>55</v>
      </c>
      <c r="H26" s="14" t="s">
        <v>148</v>
      </c>
      <c r="I26" s="13" t="s">
        <v>57</v>
      </c>
      <c r="J26" s="14" t="s">
        <v>149</v>
      </c>
      <c r="K26" s="13"/>
    </row>
    <row r="27" customFormat="false" ht="75" hidden="false" customHeight="true" outlineLevel="0" collapsed="false">
      <c r="B27" s="16" t="s">
        <v>150</v>
      </c>
      <c r="C27" s="17" t="s">
        <v>151</v>
      </c>
      <c r="D27" s="6" t="s">
        <v>52</v>
      </c>
      <c r="E27" s="16" t="s">
        <v>53</v>
      </c>
      <c r="F27" s="17" t="s">
        <v>152</v>
      </c>
      <c r="G27" s="16" t="s">
        <v>66</v>
      </c>
      <c r="H27" s="17" t="s">
        <v>153</v>
      </c>
      <c r="I27" s="16" t="s">
        <v>154</v>
      </c>
      <c r="J27" s="17" t="s">
        <v>155</v>
      </c>
      <c r="K27" s="16"/>
    </row>
    <row r="28" customFormat="false" ht="75" hidden="false" customHeight="true" outlineLevel="0" collapsed="false">
      <c r="B28" s="13" t="s">
        <v>156</v>
      </c>
      <c r="C28" s="14" t="s">
        <v>157</v>
      </c>
      <c r="D28" s="15" t="s">
        <v>52</v>
      </c>
      <c r="E28" s="13" t="s">
        <v>53</v>
      </c>
      <c r="F28" s="14" t="s">
        <v>158</v>
      </c>
      <c r="G28" s="13" t="s">
        <v>66</v>
      </c>
      <c r="H28" s="14" t="s">
        <v>159</v>
      </c>
      <c r="I28" s="13" t="s">
        <v>68</v>
      </c>
      <c r="J28" s="14" t="s">
        <v>160</v>
      </c>
      <c r="K28" s="13"/>
    </row>
    <row r="29" customFormat="false" ht="75" hidden="false" customHeight="true" outlineLevel="0" collapsed="false">
      <c r="B29" s="16" t="s">
        <v>161</v>
      </c>
      <c r="C29" s="17" t="s">
        <v>162</v>
      </c>
      <c r="D29" s="6" t="s">
        <v>52</v>
      </c>
      <c r="E29" s="16" t="s">
        <v>53</v>
      </c>
      <c r="F29" s="17" t="s">
        <v>163</v>
      </c>
      <c r="G29" s="16" t="s">
        <v>55</v>
      </c>
      <c r="H29" s="17" t="s">
        <v>164</v>
      </c>
      <c r="I29" s="16" t="s">
        <v>57</v>
      </c>
      <c r="J29" s="17" t="s">
        <v>149</v>
      </c>
      <c r="K29" s="16"/>
    </row>
    <row r="30" customFormat="false" ht="75" hidden="false" customHeight="true" outlineLevel="0" collapsed="false">
      <c r="B30" s="13" t="s">
        <v>165</v>
      </c>
      <c r="C30" s="14" t="s">
        <v>166</v>
      </c>
      <c r="D30" s="15" t="s">
        <v>52</v>
      </c>
      <c r="E30" s="13" t="s">
        <v>53</v>
      </c>
      <c r="F30" s="14" t="s">
        <v>167</v>
      </c>
      <c r="G30" s="13" t="s">
        <v>66</v>
      </c>
      <c r="H30" s="14" t="s">
        <v>168</v>
      </c>
      <c r="I30" s="13" t="s">
        <v>68</v>
      </c>
      <c r="J30" s="14" t="s">
        <v>169</v>
      </c>
      <c r="K30" s="13"/>
    </row>
    <row r="31" customFormat="false" ht="75" hidden="false" customHeight="true" outlineLevel="0" collapsed="false">
      <c r="B31" s="16" t="s">
        <v>170</v>
      </c>
      <c r="C31" s="17" t="s">
        <v>171</v>
      </c>
      <c r="D31" s="6" t="s">
        <v>52</v>
      </c>
      <c r="E31" s="16" t="s">
        <v>53</v>
      </c>
      <c r="F31" s="17" t="s">
        <v>172</v>
      </c>
      <c r="G31" s="16" t="s">
        <v>66</v>
      </c>
      <c r="H31" s="17" t="s">
        <v>173</v>
      </c>
      <c r="I31" s="16" t="s">
        <v>57</v>
      </c>
      <c r="J31" s="17" t="s">
        <v>174</v>
      </c>
      <c r="K31" s="16"/>
    </row>
    <row r="32" customFormat="false" ht="75" hidden="false" customHeight="true" outlineLevel="0" collapsed="false">
      <c r="B32" s="13" t="s">
        <v>175</v>
      </c>
      <c r="C32" s="14" t="s">
        <v>176</v>
      </c>
      <c r="D32" s="15" t="s">
        <v>52</v>
      </c>
      <c r="E32" s="13" t="s">
        <v>53</v>
      </c>
      <c r="F32" s="14" t="s">
        <v>177</v>
      </c>
      <c r="G32" s="13" t="s">
        <v>66</v>
      </c>
      <c r="H32" s="14" t="s">
        <v>178</v>
      </c>
      <c r="I32" s="13" t="s">
        <v>57</v>
      </c>
      <c r="J32" s="14" t="s">
        <v>174</v>
      </c>
      <c r="K32" s="13"/>
    </row>
    <row r="33" customFormat="false" ht="75" hidden="false" customHeight="true" outlineLevel="0" collapsed="false">
      <c r="B33" s="16" t="s">
        <v>179</v>
      </c>
      <c r="C33" s="17" t="s">
        <v>180</v>
      </c>
      <c r="D33" s="6" t="s">
        <v>52</v>
      </c>
      <c r="E33" s="16" t="s">
        <v>53</v>
      </c>
      <c r="F33" s="17" t="s">
        <v>181</v>
      </c>
      <c r="G33" s="16" t="s">
        <v>55</v>
      </c>
      <c r="H33" s="17" t="s">
        <v>182</v>
      </c>
      <c r="I33" s="16" t="s">
        <v>57</v>
      </c>
      <c r="J33" s="17" t="s">
        <v>174</v>
      </c>
      <c r="K33" s="16"/>
    </row>
    <row r="34" customFormat="false" ht="75" hidden="false" customHeight="true" outlineLevel="0" collapsed="false">
      <c r="B34" s="13" t="s">
        <v>183</v>
      </c>
      <c r="C34" s="14" t="s">
        <v>184</v>
      </c>
      <c r="D34" s="15" t="s">
        <v>52</v>
      </c>
      <c r="E34" s="13" t="s">
        <v>53</v>
      </c>
      <c r="F34" s="14" t="s">
        <v>185</v>
      </c>
      <c r="G34" s="13" t="s">
        <v>55</v>
      </c>
      <c r="H34" s="14" t="s">
        <v>186</v>
      </c>
      <c r="I34" s="13" t="s">
        <v>57</v>
      </c>
      <c r="J34" s="14" t="s">
        <v>174</v>
      </c>
      <c r="K34" s="13"/>
    </row>
    <row r="35" customFormat="false" ht="75" hidden="false" customHeight="true" outlineLevel="0" collapsed="false">
      <c r="B35" s="16" t="s">
        <v>187</v>
      </c>
      <c r="C35" s="17" t="s">
        <v>188</v>
      </c>
      <c r="D35" s="6" t="s">
        <v>52</v>
      </c>
      <c r="E35" s="16" t="s">
        <v>53</v>
      </c>
      <c r="F35" s="17" t="s">
        <v>189</v>
      </c>
      <c r="G35" s="16" t="s">
        <v>55</v>
      </c>
      <c r="H35" s="17" t="s">
        <v>190</v>
      </c>
      <c r="I35" s="16" t="s">
        <v>57</v>
      </c>
      <c r="J35" s="17" t="s">
        <v>174</v>
      </c>
      <c r="K35" s="16"/>
    </row>
    <row r="36" customFormat="false" ht="75" hidden="false" customHeight="true" outlineLevel="0" collapsed="false">
      <c r="B36" s="13" t="s">
        <v>191</v>
      </c>
      <c r="C36" s="14" t="s">
        <v>192</v>
      </c>
      <c r="D36" s="15" t="s">
        <v>52</v>
      </c>
      <c r="E36" s="13" t="s">
        <v>53</v>
      </c>
      <c r="F36" s="14" t="s">
        <v>193</v>
      </c>
      <c r="G36" s="13" t="s">
        <v>55</v>
      </c>
      <c r="H36" s="14" t="s">
        <v>194</v>
      </c>
      <c r="I36" s="13" t="s">
        <v>57</v>
      </c>
      <c r="J36" s="14" t="s">
        <v>195</v>
      </c>
      <c r="K36" s="13"/>
    </row>
    <row r="37" customFormat="false" ht="75" hidden="false" customHeight="true" outlineLevel="0" collapsed="false">
      <c r="B37" s="16" t="s">
        <v>196</v>
      </c>
      <c r="C37" s="17" t="s">
        <v>197</v>
      </c>
      <c r="D37" s="6" t="s">
        <v>52</v>
      </c>
      <c r="E37" s="16" t="s">
        <v>53</v>
      </c>
      <c r="F37" s="17" t="s">
        <v>198</v>
      </c>
      <c r="G37" s="16" t="s">
        <v>66</v>
      </c>
      <c r="H37" s="17" t="s">
        <v>199</v>
      </c>
      <c r="I37" s="16" t="s">
        <v>68</v>
      </c>
      <c r="J37" s="17" t="s">
        <v>195</v>
      </c>
      <c r="K37" s="16"/>
    </row>
    <row r="38" customFormat="false" ht="75" hidden="false" customHeight="true" outlineLevel="0" collapsed="false">
      <c r="B38" s="13" t="s">
        <v>200</v>
      </c>
      <c r="C38" s="14" t="s">
        <v>201</v>
      </c>
      <c r="D38" s="15" t="s">
        <v>52</v>
      </c>
      <c r="E38" s="13" t="s">
        <v>53</v>
      </c>
      <c r="F38" s="14" t="s">
        <v>202</v>
      </c>
      <c r="G38" s="13" t="s">
        <v>66</v>
      </c>
      <c r="H38" s="14" t="s">
        <v>203</v>
      </c>
      <c r="I38" s="13" t="s">
        <v>79</v>
      </c>
      <c r="J38" s="14" t="s">
        <v>80</v>
      </c>
      <c r="K38" s="13"/>
    </row>
    <row r="39" customFormat="false" ht="75" hidden="false" customHeight="true" outlineLevel="0" collapsed="false">
      <c r="B39" s="16" t="s">
        <v>204</v>
      </c>
      <c r="C39" s="17" t="s">
        <v>205</v>
      </c>
      <c r="D39" s="6" t="s">
        <v>52</v>
      </c>
      <c r="E39" s="16" t="s">
        <v>53</v>
      </c>
      <c r="F39" s="17" t="s">
        <v>206</v>
      </c>
      <c r="G39" s="16" t="s">
        <v>66</v>
      </c>
      <c r="H39" s="17" t="s">
        <v>207</v>
      </c>
      <c r="I39" s="16" t="s">
        <v>154</v>
      </c>
      <c r="J39" s="17" t="s">
        <v>208</v>
      </c>
      <c r="K39" s="16"/>
    </row>
    <row r="40" customFormat="false" ht="75" hidden="false" customHeight="true" outlineLevel="0" collapsed="false">
      <c r="B40" s="13" t="s">
        <v>209</v>
      </c>
      <c r="C40" s="14" t="s">
        <v>210</v>
      </c>
      <c r="D40" s="15" t="s">
        <v>52</v>
      </c>
      <c r="E40" s="13" t="s">
        <v>53</v>
      </c>
      <c r="F40" s="14" t="s">
        <v>211</v>
      </c>
      <c r="G40" s="13" t="s">
        <v>66</v>
      </c>
      <c r="H40" s="14" t="s">
        <v>212</v>
      </c>
      <c r="I40" s="13" t="s">
        <v>79</v>
      </c>
      <c r="J40" s="14" t="s">
        <v>116</v>
      </c>
      <c r="K40" s="13"/>
    </row>
    <row r="41" customFormat="false" ht="75" hidden="false" customHeight="true" outlineLevel="0" collapsed="false">
      <c r="B41" s="16" t="s">
        <v>213</v>
      </c>
      <c r="C41" s="17" t="s">
        <v>214</v>
      </c>
      <c r="D41" s="6" t="s">
        <v>52</v>
      </c>
      <c r="E41" s="16" t="s">
        <v>53</v>
      </c>
      <c r="F41" s="17" t="s">
        <v>215</v>
      </c>
      <c r="G41" s="16" t="s">
        <v>66</v>
      </c>
      <c r="H41" s="17" t="s">
        <v>216</v>
      </c>
      <c r="I41" s="16" t="s">
        <v>79</v>
      </c>
      <c r="J41" s="17" t="s">
        <v>80</v>
      </c>
      <c r="K41" s="16"/>
    </row>
    <row r="42" customFormat="false" ht="75" hidden="false" customHeight="true" outlineLevel="0" collapsed="false">
      <c r="B42" s="13" t="s">
        <v>217</v>
      </c>
      <c r="C42" s="14" t="s">
        <v>218</v>
      </c>
      <c r="D42" s="15" t="s">
        <v>52</v>
      </c>
      <c r="E42" s="13" t="s">
        <v>53</v>
      </c>
      <c r="F42" s="14" t="s">
        <v>219</v>
      </c>
      <c r="G42" s="13" t="s">
        <v>55</v>
      </c>
      <c r="H42" s="14" t="s">
        <v>220</v>
      </c>
      <c r="I42" s="13" t="s">
        <v>57</v>
      </c>
      <c r="J42" s="14" t="s">
        <v>221</v>
      </c>
      <c r="K42" s="13"/>
    </row>
    <row r="43" customFormat="false" ht="75" hidden="false" customHeight="true" outlineLevel="0" collapsed="false">
      <c r="B43" s="16" t="s">
        <v>222</v>
      </c>
      <c r="C43" s="17" t="s">
        <v>223</v>
      </c>
      <c r="D43" s="6" t="s">
        <v>52</v>
      </c>
      <c r="E43" s="16" t="s">
        <v>53</v>
      </c>
      <c r="F43" s="17" t="s">
        <v>224</v>
      </c>
      <c r="G43" s="16" t="s">
        <v>55</v>
      </c>
      <c r="H43" s="17" t="s">
        <v>225</v>
      </c>
      <c r="I43" s="16" t="s">
        <v>57</v>
      </c>
      <c r="J43" s="17" t="s">
        <v>221</v>
      </c>
      <c r="K43" s="16"/>
    </row>
    <row r="44" customFormat="false" ht="75" hidden="false" customHeight="true" outlineLevel="0" collapsed="false">
      <c r="B44" s="13" t="s">
        <v>226</v>
      </c>
      <c r="C44" s="14" t="s">
        <v>227</v>
      </c>
      <c r="D44" s="15" t="s">
        <v>52</v>
      </c>
      <c r="E44" s="13" t="s">
        <v>53</v>
      </c>
      <c r="F44" s="14" t="s">
        <v>228</v>
      </c>
      <c r="G44" s="13" t="s">
        <v>66</v>
      </c>
      <c r="H44" s="14" t="s">
        <v>229</v>
      </c>
      <c r="I44" s="13" t="s">
        <v>68</v>
      </c>
      <c r="J44" s="14" t="s">
        <v>230</v>
      </c>
      <c r="K44" s="13"/>
    </row>
    <row r="45" customFormat="false" ht="21.75" hidden="false" customHeight="true" outlineLevel="0" collapsed="false">
      <c r="B45" s="12" t="s">
        <v>231</v>
      </c>
      <c r="C45" s="12"/>
      <c r="D45" s="12"/>
      <c r="E45" s="12"/>
      <c r="F45" s="12"/>
      <c r="G45" s="12"/>
      <c r="H45" s="12"/>
      <c r="I45" s="12"/>
      <c r="J45" s="12"/>
      <c r="K45" s="12"/>
    </row>
    <row r="46" customFormat="false" ht="75" hidden="false" customHeight="true" outlineLevel="0" collapsed="false">
      <c r="B46" s="13" t="s">
        <v>232</v>
      </c>
      <c r="C46" s="14" t="s">
        <v>233</v>
      </c>
      <c r="D46" s="15" t="s">
        <v>234</v>
      </c>
      <c r="E46" s="13" t="s">
        <v>53</v>
      </c>
      <c r="F46" s="14" t="s">
        <v>235</v>
      </c>
      <c r="G46" s="13" t="s">
        <v>66</v>
      </c>
      <c r="H46" s="14" t="s">
        <v>236</v>
      </c>
      <c r="I46" s="13" t="s">
        <v>110</v>
      </c>
      <c r="J46" s="14" t="s">
        <v>111</v>
      </c>
      <c r="K46" s="13"/>
    </row>
    <row r="47" customFormat="false" ht="75" hidden="false" customHeight="true" outlineLevel="0" collapsed="false">
      <c r="B47" s="16" t="s">
        <v>237</v>
      </c>
      <c r="C47" s="17" t="s">
        <v>238</v>
      </c>
      <c r="D47" s="6" t="s">
        <v>234</v>
      </c>
      <c r="E47" s="16" t="s">
        <v>53</v>
      </c>
      <c r="F47" s="17" t="s">
        <v>239</v>
      </c>
      <c r="G47" s="16" t="s">
        <v>134</v>
      </c>
      <c r="H47" s="17" t="s">
        <v>240</v>
      </c>
      <c r="I47" s="16" t="s">
        <v>110</v>
      </c>
      <c r="J47" s="17" t="s">
        <v>241</v>
      </c>
      <c r="K47" s="16"/>
    </row>
    <row r="48" customFormat="false" ht="75" hidden="false" customHeight="true" outlineLevel="0" collapsed="false">
      <c r="B48" s="13" t="s">
        <v>242</v>
      </c>
      <c r="C48" s="14" t="s">
        <v>243</v>
      </c>
      <c r="D48" s="15" t="s">
        <v>234</v>
      </c>
      <c r="E48" s="13" t="s">
        <v>53</v>
      </c>
      <c r="F48" s="14" t="s">
        <v>244</v>
      </c>
      <c r="G48" s="13" t="s">
        <v>55</v>
      </c>
      <c r="H48" s="14" t="s">
        <v>245</v>
      </c>
      <c r="I48" s="13" t="s">
        <v>57</v>
      </c>
      <c r="J48" s="14" t="s">
        <v>246</v>
      </c>
      <c r="K48" s="13"/>
    </row>
    <row r="49" customFormat="false" ht="75" hidden="false" customHeight="true" outlineLevel="0" collapsed="false">
      <c r="B49" s="16" t="s">
        <v>247</v>
      </c>
      <c r="C49" s="17" t="s">
        <v>248</v>
      </c>
      <c r="D49" s="6" t="s">
        <v>234</v>
      </c>
      <c r="E49" s="16" t="s">
        <v>53</v>
      </c>
      <c r="F49" s="17" t="s">
        <v>249</v>
      </c>
      <c r="G49" s="16" t="s">
        <v>66</v>
      </c>
      <c r="H49" s="17" t="s">
        <v>250</v>
      </c>
      <c r="I49" s="16" t="s">
        <v>110</v>
      </c>
      <c r="J49" s="17" t="s">
        <v>111</v>
      </c>
      <c r="K49" s="16"/>
    </row>
    <row r="50" customFormat="false" ht="75" hidden="false" customHeight="true" outlineLevel="0" collapsed="false">
      <c r="B50" s="13" t="s">
        <v>251</v>
      </c>
      <c r="C50" s="14" t="s">
        <v>252</v>
      </c>
      <c r="D50" s="15" t="s">
        <v>234</v>
      </c>
      <c r="E50" s="13" t="s">
        <v>53</v>
      </c>
      <c r="F50" s="14" t="s">
        <v>253</v>
      </c>
      <c r="G50" s="13" t="s">
        <v>66</v>
      </c>
      <c r="H50" s="14" t="s">
        <v>254</v>
      </c>
      <c r="I50" s="13" t="s">
        <v>110</v>
      </c>
      <c r="J50" s="14" t="s">
        <v>241</v>
      </c>
      <c r="K50" s="13"/>
    </row>
    <row r="51" customFormat="false" ht="75" hidden="false" customHeight="true" outlineLevel="0" collapsed="false">
      <c r="B51" s="16" t="s">
        <v>255</v>
      </c>
      <c r="C51" s="17" t="s">
        <v>256</v>
      </c>
      <c r="D51" s="6" t="s">
        <v>234</v>
      </c>
      <c r="E51" s="16" t="s">
        <v>53</v>
      </c>
      <c r="F51" s="17" t="s">
        <v>257</v>
      </c>
      <c r="G51" s="16" t="s">
        <v>134</v>
      </c>
      <c r="H51" s="17" t="s">
        <v>258</v>
      </c>
      <c r="I51" s="16" t="s">
        <v>154</v>
      </c>
      <c r="J51" s="17" t="s">
        <v>208</v>
      </c>
      <c r="K51" s="16"/>
    </row>
    <row r="52" customFormat="false" ht="75" hidden="false" customHeight="true" outlineLevel="0" collapsed="false">
      <c r="B52" s="13" t="s">
        <v>259</v>
      </c>
      <c r="C52" s="14" t="s">
        <v>260</v>
      </c>
      <c r="D52" s="15" t="s">
        <v>234</v>
      </c>
      <c r="E52" s="13" t="s">
        <v>53</v>
      </c>
      <c r="F52" s="14" t="s">
        <v>261</v>
      </c>
      <c r="G52" s="13" t="s">
        <v>66</v>
      </c>
      <c r="H52" s="14" t="s">
        <v>262</v>
      </c>
      <c r="I52" s="13" t="s">
        <v>57</v>
      </c>
      <c r="J52" s="14" t="s">
        <v>263</v>
      </c>
      <c r="K52" s="13"/>
    </row>
    <row r="53" customFormat="false" ht="75" hidden="false" customHeight="true" outlineLevel="0" collapsed="false">
      <c r="B53" s="16" t="s">
        <v>264</v>
      </c>
      <c r="C53" s="17" t="s">
        <v>265</v>
      </c>
      <c r="D53" s="6" t="s">
        <v>234</v>
      </c>
      <c r="E53" s="16" t="s">
        <v>53</v>
      </c>
      <c r="F53" s="17" t="s">
        <v>266</v>
      </c>
      <c r="G53" s="16" t="s">
        <v>66</v>
      </c>
      <c r="H53" s="17" t="s">
        <v>267</v>
      </c>
      <c r="I53" s="16" t="s">
        <v>57</v>
      </c>
      <c r="J53" s="17" t="s">
        <v>174</v>
      </c>
      <c r="K53" s="16"/>
    </row>
    <row r="54" customFormat="false" ht="21.75" hidden="false" customHeight="true" outlineLevel="0" collapsed="false">
      <c r="B54" s="12" t="s">
        <v>268</v>
      </c>
      <c r="C54" s="12"/>
      <c r="D54" s="12"/>
      <c r="E54" s="12"/>
      <c r="F54" s="12"/>
      <c r="G54" s="12"/>
      <c r="H54" s="12"/>
      <c r="I54" s="12"/>
      <c r="J54" s="12"/>
      <c r="K54" s="12"/>
    </row>
    <row r="55" customFormat="false" ht="75" hidden="false" customHeight="true" outlineLevel="0" collapsed="false">
      <c r="B55" s="16" t="s">
        <v>269</v>
      </c>
      <c r="C55" s="17" t="s">
        <v>270</v>
      </c>
      <c r="D55" s="6" t="s">
        <v>271</v>
      </c>
      <c r="E55" s="16" t="s">
        <v>53</v>
      </c>
      <c r="F55" s="17" t="s">
        <v>272</v>
      </c>
      <c r="G55" s="16" t="s">
        <v>134</v>
      </c>
      <c r="H55" s="17" t="s">
        <v>273</v>
      </c>
      <c r="I55" s="16" t="s">
        <v>57</v>
      </c>
      <c r="J55" s="17" t="s">
        <v>274</v>
      </c>
      <c r="K55" s="16"/>
    </row>
    <row r="56" customFormat="false" ht="75" hidden="false" customHeight="true" outlineLevel="0" collapsed="false">
      <c r="B56" s="13" t="s">
        <v>275</v>
      </c>
      <c r="C56" s="14" t="s">
        <v>276</v>
      </c>
      <c r="D56" s="15" t="s">
        <v>271</v>
      </c>
      <c r="E56" s="13" t="s">
        <v>53</v>
      </c>
      <c r="F56" s="14" t="s">
        <v>277</v>
      </c>
      <c r="G56" s="13" t="s">
        <v>134</v>
      </c>
      <c r="H56" s="14" t="s">
        <v>278</v>
      </c>
      <c r="I56" s="13" t="s">
        <v>57</v>
      </c>
      <c r="J56" s="14" t="s">
        <v>274</v>
      </c>
      <c r="K56" s="13"/>
    </row>
    <row r="57" customFormat="false" ht="75" hidden="false" customHeight="true" outlineLevel="0" collapsed="false">
      <c r="B57" s="16" t="s">
        <v>279</v>
      </c>
      <c r="C57" s="17" t="s">
        <v>280</v>
      </c>
      <c r="D57" s="6" t="s">
        <v>271</v>
      </c>
      <c r="E57" s="16" t="s">
        <v>53</v>
      </c>
      <c r="F57" s="17" t="s">
        <v>281</v>
      </c>
      <c r="G57" s="16" t="s">
        <v>134</v>
      </c>
      <c r="H57" s="17" t="s">
        <v>282</v>
      </c>
      <c r="I57" s="16" t="s">
        <v>57</v>
      </c>
      <c r="J57" s="17" t="s">
        <v>274</v>
      </c>
      <c r="K57" s="16"/>
    </row>
    <row r="58" customFormat="false" ht="75" hidden="false" customHeight="true" outlineLevel="0" collapsed="false">
      <c r="B58" s="13" t="s">
        <v>283</v>
      </c>
      <c r="C58" s="14" t="s">
        <v>284</v>
      </c>
      <c r="D58" s="15" t="s">
        <v>271</v>
      </c>
      <c r="E58" s="13" t="s">
        <v>53</v>
      </c>
      <c r="F58" s="14" t="s">
        <v>285</v>
      </c>
      <c r="G58" s="13" t="s">
        <v>134</v>
      </c>
      <c r="H58" s="14" t="s">
        <v>278</v>
      </c>
      <c r="I58" s="13" t="s">
        <v>57</v>
      </c>
      <c r="J58" s="14" t="s">
        <v>274</v>
      </c>
      <c r="K58" s="13"/>
    </row>
    <row r="59" customFormat="false" ht="75" hidden="false" customHeight="true" outlineLevel="0" collapsed="false">
      <c r="B59" s="16" t="s">
        <v>286</v>
      </c>
      <c r="C59" s="17" t="s">
        <v>287</v>
      </c>
      <c r="D59" s="6" t="s">
        <v>271</v>
      </c>
      <c r="E59" s="16" t="s">
        <v>53</v>
      </c>
      <c r="F59" s="17" t="s">
        <v>288</v>
      </c>
      <c r="G59" s="16" t="s">
        <v>134</v>
      </c>
      <c r="H59" s="17" t="s">
        <v>278</v>
      </c>
      <c r="I59" s="16" t="s">
        <v>57</v>
      </c>
      <c r="J59" s="17" t="s">
        <v>274</v>
      </c>
      <c r="K59" s="16"/>
    </row>
    <row r="60" customFormat="false" ht="75" hidden="false" customHeight="true" outlineLevel="0" collapsed="false">
      <c r="B60" s="13" t="s">
        <v>289</v>
      </c>
      <c r="C60" s="14" t="s">
        <v>290</v>
      </c>
      <c r="D60" s="15" t="s">
        <v>271</v>
      </c>
      <c r="E60" s="13" t="s">
        <v>53</v>
      </c>
      <c r="F60" s="14" t="s">
        <v>291</v>
      </c>
      <c r="G60" s="13" t="s">
        <v>134</v>
      </c>
      <c r="H60" s="14" t="s">
        <v>292</v>
      </c>
      <c r="I60" s="13" t="s">
        <v>57</v>
      </c>
      <c r="J60" s="14" t="s">
        <v>274</v>
      </c>
      <c r="K60" s="13"/>
    </row>
    <row r="61" customFormat="false" ht="75" hidden="false" customHeight="true" outlineLevel="0" collapsed="false">
      <c r="B61" s="16" t="s">
        <v>293</v>
      </c>
      <c r="C61" s="17" t="s">
        <v>294</v>
      </c>
      <c r="D61" s="6" t="s">
        <v>271</v>
      </c>
      <c r="E61" s="16" t="s">
        <v>53</v>
      </c>
      <c r="F61" s="17" t="s">
        <v>295</v>
      </c>
      <c r="G61" s="16" t="s">
        <v>66</v>
      </c>
      <c r="H61" s="17" t="s">
        <v>296</v>
      </c>
      <c r="I61" s="16" t="s">
        <v>57</v>
      </c>
      <c r="J61" s="17" t="s">
        <v>263</v>
      </c>
      <c r="K61" s="16"/>
    </row>
    <row r="62" customFormat="false" ht="75" hidden="false" customHeight="true" outlineLevel="0" collapsed="false">
      <c r="B62" s="13" t="s">
        <v>297</v>
      </c>
      <c r="C62" s="14" t="s">
        <v>298</v>
      </c>
      <c r="D62" s="15" t="s">
        <v>271</v>
      </c>
      <c r="E62" s="13" t="s">
        <v>53</v>
      </c>
      <c r="F62" s="14" t="s">
        <v>299</v>
      </c>
      <c r="G62" s="13" t="s">
        <v>66</v>
      </c>
      <c r="H62" s="14" t="s">
        <v>300</v>
      </c>
      <c r="I62" s="13" t="s">
        <v>57</v>
      </c>
      <c r="J62" s="14" t="s">
        <v>263</v>
      </c>
      <c r="K62" s="13"/>
    </row>
    <row r="63" customFormat="false" ht="75" hidden="false" customHeight="true" outlineLevel="0" collapsed="false">
      <c r="B63" s="16" t="s">
        <v>301</v>
      </c>
      <c r="C63" s="17" t="s">
        <v>302</v>
      </c>
      <c r="D63" s="6" t="s">
        <v>271</v>
      </c>
      <c r="E63" s="16" t="s">
        <v>53</v>
      </c>
      <c r="F63" s="17" t="s">
        <v>303</v>
      </c>
      <c r="G63" s="16" t="s">
        <v>134</v>
      </c>
      <c r="H63" s="17" t="s">
        <v>304</v>
      </c>
      <c r="I63" s="16" t="s">
        <v>57</v>
      </c>
      <c r="J63" s="17" t="s">
        <v>263</v>
      </c>
      <c r="K63" s="16"/>
    </row>
    <row r="64" customFormat="false" ht="75" hidden="false" customHeight="true" outlineLevel="0" collapsed="false">
      <c r="B64" s="13" t="s">
        <v>305</v>
      </c>
      <c r="C64" s="14" t="s">
        <v>306</v>
      </c>
      <c r="D64" s="15" t="s">
        <v>271</v>
      </c>
      <c r="E64" s="13" t="s">
        <v>53</v>
      </c>
      <c r="F64" s="14" t="s">
        <v>307</v>
      </c>
      <c r="G64" s="13" t="s">
        <v>66</v>
      </c>
      <c r="H64" s="14" t="s">
        <v>308</v>
      </c>
      <c r="I64" s="13" t="s">
        <v>57</v>
      </c>
      <c r="J64" s="14" t="s">
        <v>309</v>
      </c>
      <c r="K64" s="13"/>
    </row>
    <row r="65" customFormat="false" ht="75" hidden="false" customHeight="true" outlineLevel="0" collapsed="false">
      <c r="B65" s="16" t="s">
        <v>310</v>
      </c>
      <c r="C65" s="17" t="s">
        <v>311</v>
      </c>
      <c r="D65" s="6" t="s">
        <v>271</v>
      </c>
      <c r="E65" s="16" t="s">
        <v>53</v>
      </c>
      <c r="F65" s="17" t="s">
        <v>312</v>
      </c>
      <c r="G65" s="16" t="s">
        <v>134</v>
      </c>
      <c r="H65" s="17" t="s">
        <v>278</v>
      </c>
      <c r="I65" s="16" t="s">
        <v>57</v>
      </c>
      <c r="J65" s="17" t="s">
        <v>274</v>
      </c>
      <c r="K65" s="16"/>
    </row>
    <row r="66" customFormat="false" ht="75" hidden="false" customHeight="true" outlineLevel="0" collapsed="false">
      <c r="B66" s="13" t="s">
        <v>313</v>
      </c>
      <c r="C66" s="14" t="s">
        <v>314</v>
      </c>
      <c r="D66" s="15" t="s">
        <v>271</v>
      </c>
      <c r="E66" s="13" t="s">
        <v>53</v>
      </c>
      <c r="F66" s="14" t="s">
        <v>315</v>
      </c>
      <c r="G66" s="13" t="s">
        <v>134</v>
      </c>
      <c r="H66" s="14" t="s">
        <v>278</v>
      </c>
      <c r="I66" s="13" t="s">
        <v>57</v>
      </c>
      <c r="J66" s="14" t="s">
        <v>274</v>
      </c>
      <c r="K66" s="13"/>
    </row>
    <row r="67" customFormat="false" ht="75" hidden="false" customHeight="true" outlineLevel="0" collapsed="false">
      <c r="B67" s="16" t="s">
        <v>316</v>
      </c>
      <c r="C67" s="17" t="s">
        <v>317</v>
      </c>
      <c r="D67" s="6" t="s">
        <v>271</v>
      </c>
      <c r="E67" s="16" t="s">
        <v>53</v>
      </c>
      <c r="F67" s="17" t="s">
        <v>318</v>
      </c>
      <c r="G67" s="16" t="s">
        <v>134</v>
      </c>
      <c r="H67" s="17" t="s">
        <v>319</v>
      </c>
      <c r="I67" s="16" t="s">
        <v>57</v>
      </c>
      <c r="J67" s="17" t="s">
        <v>263</v>
      </c>
      <c r="K67" s="16"/>
    </row>
    <row r="68" customFormat="false" ht="75" hidden="false" customHeight="true" outlineLevel="0" collapsed="false">
      <c r="B68" s="13" t="s">
        <v>320</v>
      </c>
      <c r="C68" s="14" t="s">
        <v>321</v>
      </c>
      <c r="D68" s="15" t="s">
        <v>271</v>
      </c>
      <c r="E68" s="13" t="s">
        <v>53</v>
      </c>
      <c r="F68" s="14" t="s">
        <v>322</v>
      </c>
      <c r="G68" s="13" t="s">
        <v>66</v>
      </c>
      <c r="H68" s="14" t="s">
        <v>323</v>
      </c>
      <c r="I68" s="13" t="s">
        <v>57</v>
      </c>
      <c r="J68" s="14" t="s">
        <v>263</v>
      </c>
      <c r="K68" s="13"/>
    </row>
    <row r="69" customFormat="false" ht="21.75" hidden="false" customHeight="true" outlineLevel="0" collapsed="false">
      <c r="B69" s="12" t="s">
        <v>324</v>
      </c>
      <c r="C69" s="12"/>
      <c r="D69" s="12"/>
      <c r="E69" s="12"/>
      <c r="F69" s="12"/>
      <c r="G69" s="12"/>
      <c r="H69" s="12"/>
      <c r="I69" s="12"/>
      <c r="J69" s="12"/>
      <c r="K69" s="12"/>
    </row>
    <row r="70" customFormat="false" ht="75" hidden="false" customHeight="true" outlineLevel="0" collapsed="false">
      <c r="B70" s="13" t="s">
        <v>325</v>
      </c>
      <c r="C70" s="14" t="s">
        <v>326</v>
      </c>
      <c r="D70" s="15" t="s">
        <v>327</v>
      </c>
      <c r="E70" s="13" t="s">
        <v>53</v>
      </c>
      <c r="F70" s="14" t="s">
        <v>328</v>
      </c>
      <c r="G70" s="13" t="s">
        <v>134</v>
      </c>
      <c r="H70" s="14" t="s">
        <v>329</v>
      </c>
      <c r="I70" s="13" t="s">
        <v>68</v>
      </c>
      <c r="J70" s="14" t="s">
        <v>330</v>
      </c>
      <c r="K70" s="13"/>
    </row>
    <row r="71" customFormat="false" ht="75" hidden="false" customHeight="true" outlineLevel="0" collapsed="false">
      <c r="B71" s="16" t="s">
        <v>331</v>
      </c>
      <c r="C71" s="17" t="s">
        <v>332</v>
      </c>
      <c r="D71" s="6" t="s">
        <v>327</v>
      </c>
      <c r="E71" s="16" t="s">
        <v>53</v>
      </c>
      <c r="F71" s="17" t="s">
        <v>333</v>
      </c>
      <c r="G71" s="16" t="s">
        <v>66</v>
      </c>
      <c r="H71" s="17" t="s">
        <v>334</v>
      </c>
      <c r="I71" s="16" t="s">
        <v>68</v>
      </c>
      <c r="J71" s="17" t="s">
        <v>130</v>
      </c>
      <c r="K71" s="16"/>
    </row>
    <row r="72" customFormat="false" ht="75" hidden="false" customHeight="true" outlineLevel="0" collapsed="false">
      <c r="B72" s="13" t="s">
        <v>335</v>
      </c>
      <c r="C72" s="14" t="s">
        <v>336</v>
      </c>
      <c r="D72" s="15" t="s">
        <v>327</v>
      </c>
      <c r="E72" s="13" t="s">
        <v>53</v>
      </c>
      <c r="F72" s="14" t="s">
        <v>337</v>
      </c>
      <c r="G72" s="13" t="s">
        <v>66</v>
      </c>
      <c r="H72" s="14" t="s">
        <v>338</v>
      </c>
      <c r="I72" s="13" t="s">
        <v>68</v>
      </c>
      <c r="J72" s="14" t="s">
        <v>130</v>
      </c>
      <c r="K72" s="13"/>
    </row>
    <row r="73" customFormat="false" ht="75" hidden="false" customHeight="true" outlineLevel="0" collapsed="false">
      <c r="B73" s="16" t="s">
        <v>339</v>
      </c>
      <c r="C73" s="17" t="s">
        <v>340</v>
      </c>
      <c r="D73" s="6" t="s">
        <v>327</v>
      </c>
      <c r="E73" s="16" t="s">
        <v>53</v>
      </c>
      <c r="F73" s="17" t="s">
        <v>341</v>
      </c>
      <c r="G73" s="16" t="s">
        <v>134</v>
      </c>
      <c r="H73" s="17" t="s">
        <v>342</v>
      </c>
      <c r="I73" s="16" t="s">
        <v>68</v>
      </c>
      <c r="J73" s="17" t="s">
        <v>343</v>
      </c>
      <c r="K73" s="16"/>
    </row>
    <row r="74" customFormat="false" ht="75" hidden="false" customHeight="true" outlineLevel="0" collapsed="false">
      <c r="B74" s="13" t="s">
        <v>344</v>
      </c>
      <c r="C74" s="14" t="s">
        <v>345</v>
      </c>
      <c r="D74" s="15" t="s">
        <v>327</v>
      </c>
      <c r="E74" s="13" t="s">
        <v>53</v>
      </c>
      <c r="F74" s="14" t="s">
        <v>346</v>
      </c>
      <c r="G74" s="13" t="s">
        <v>134</v>
      </c>
      <c r="H74" s="14" t="s">
        <v>347</v>
      </c>
      <c r="I74" s="13" t="s">
        <v>68</v>
      </c>
      <c r="J74" s="14" t="s">
        <v>130</v>
      </c>
      <c r="K74" s="13"/>
    </row>
    <row r="75" customFormat="false" ht="75" hidden="false" customHeight="true" outlineLevel="0" collapsed="false">
      <c r="B75" s="16" t="s">
        <v>348</v>
      </c>
      <c r="C75" s="17" t="s">
        <v>349</v>
      </c>
      <c r="D75" s="6" t="s">
        <v>327</v>
      </c>
      <c r="E75" s="16" t="s">
        <v>53</v>
      </c>
      <c r="F75" s="17" t="s">
        <v>350</v>
      </c>
      <c r="G75" s="16" t="s">
        <v>66</v>
      </c>
      <c r="H75" s="17" t="s">
        <v>351</v>
      </c>
      <c r="I75" s="16" t="s">
        <v>68</v>
      </c>
      <c r="J75" s="17" t="s">
        <v>195</v>
      </c>
      <c r="K75" s="16"/>
    </row>
    <row r="76" customFormat="false" ht="75" hidden="false" customHeight="true" outlineLevel="0" collapsed="false">
      <c r="B76" s="13" t="s">
        <v>352</v>
      </c>
      <c r="C76" s="14" t="s">
        <v>353</v>
      </c>
      <c r="D76" s="15" t="s">
        <v>327</v>
      </c>
      <c r="E76" s="13" t="s">
        <v>53</v>
      </c>
      <c r="F76" s="14" t="s">
        <v>354</v>
      </c>
      <c r="G76" s="13" t="s">
        <v>134</v>
      </c>
      <c r="H76" s="14" t="s">
        <v>355</v>
      </c>
      <c r="I76" s="13" t="s">
        <v>68</v>
      </c>
      <c r="J76" s="14" t="s">
        <v>356</v>
      </c>
      <c r="K76" s="13"/>
    </row>
    <row r="77" customFormat="false" ht="75" hidden="false" customHeight="true" outlineLevel="0" collapsed="false">
      <c r="B77" s="16" t="s">
        <v>357</v>
      </c>
      <c r="C77" s="17" t="s">
        <v>358</v>
      </c>
      <c r="D77" s="6" t="s">
        <v>327</v>
      </c>
      <c r="E77" s="16" t="s">
        <v>53</v>
      </c>
      <c r="F77" s="17" t="s">
        <v>359</v>
      </c>
      <c r="G77" s="16" t="s">
        <v>66</v>
      </c>
      <c r="H77" s="17" t="s">
        <v>360</v>
      </c>
      <c r="I77" s="16" t="s">
        <v>68</v>
      </c>
      <c r="J77" s="17" t="s">
        <v>361</v>
      </c>
      <c r="K77" s="16"/>
    </row>
    <row r="78" customFormat="false" ht="75" hidden="false" customHeight="true" outlineLevel="0" collapsed="false">
      <c r="B78" s="13" t="s">
        <v>362</v>
      </c>
      <c r="C78" s="14" t="s">
        <v>363</v>
      </c>
      <c r="D78" s="15" t="s">
        <v>327</v>
      </c>
      <c r="E78" s="13" t="s">
        <v>53</v>
      </c>
      <c r="F78" s="14" t="s">
        <v>364</v>
      </c>
      <c r="G78" s="13" t="s">
        <v>134</v>
      </c>
      <c r="H78" s="14" t="s">
        <v>365</v>
      </c>
      <c r="I78" s="13" t="s">
        <v>68</v>
      </c>
      <c r="J78" s="14" t="s">
        <v>366</v>
      </c>
      <c r="K78" s="13"/>
    </row>
    <row r="79" customFormat="false" ht="75" hidden="false" customHeight="true" outlineLevel="0" collapsed="false">
      <c r="B79" s="16" t="s">
        <v>367</v>
      </c>
      <c r="C79" s="17" t="s">
        <v>368</v>
      </c>
      <c r="D79" s="6" t="s">
        <v>327</v>
      </c>
      <c r="E79" s="16" t="s">
        <v>53</v>
      </c>
      <c r="F79" s="17" t="s">
        <v>369</v>
      </c>
      <c r="G79" s="16" t="s">
        <v>55</v>
      </c>
      <c r="H79" s="17" t="s">
        <v>370</v>
      </c>
      <c r="I79" s="16" t="s">
        <v>79</v>
      </c>
      <c r="J79" s="17" t="s">
        <v>116</v>
      </c>
      <c r="K79" s="16"/>
    </row>
    <row r="80" customFormat="false" ht="75" hidden="false" customHeight="true" outlineLevel="0" collapsed="false">
      <c r="B80" s="13" t="s">
        <v>371</v>
      </c>
      <c r="C80" s="14" t="s">
        <v>372</v>
      </c>
      <c r="D80" s="15" t="s">
        <v>327</v>
      </c>
      <c r="E80" s="13" t="s">
        <v>53</v>
      </c>
      <c r="F80" s="14" t="s">
        <v>373</v>
      </c>
      <c r="G80" s="13" t="s">
        <v>55</v>
      </c>
      <c r="H80" s="14" t="s">
        <v>374</v>
      </c>
      <c r="I80" s="13" t="s">
        <v>68</v>
      </c>
      <c r="J80" s="14" t="s">
        <v>375</v>
      </c>
      <c r="K80" s="13"/>
    </row>
    <row r="81" customFormat="false" ht="75" hidden="false" customHeight="true" outlineLevel="0" collapsed="false">
      <c r="B81" s="16" t="s">
        <v>376</v>
      </c>
      <c r="C81" s="17" t="s">
        <v>377</v>
      </c>
      <c r="D81" s="6" t="s">
        <v>327</v>
      </c>
      <c r="E81" s="16" t="s">
        <v>53</v>
      </c>
      <c r="F81" s="17" t="s">
        <v>378</v>
      </c>
      <c r="G81" s="16" t="s">
        <v>55</v>
      </c>
      <c r="H81" s="17" t="s">
        <v>379</v>
      </c>
      <c r="I81" s="16" t="s">
        <v>57</v>
      </c>
      <c r="J81" s="17" t="s">
        <v>380</v>
      </c>
      <c r="K81" s="16"/>
    </row>
    <row r="82" customFormat="false" ht="75" hidden="false" customHeight="true" outlineLevel="0" collapsed="false">
      <c r="B82" s="13" t="s">
        <v>381</v>
      </c>
      <c r="C82" s="14" t="s">
        <v>382</v>
      </c>
      <c r="D82" s="15" t="s">
        <v>327</v>
      </c>
      <c r="E82" s="13" t="s">
        <v>53</v>
      </c>
      <c r="F82" s="14" t="s">
        <v>383</v>
      </c>
      <c r="G82" s="13" t="s">
        <v>134</v>
      </c>
      <c r="H82" s="14" t="s">
        <v>384</v>
      </c>
      <c r="I82" s="13" t="s">
        <v>68</v>
      </c>
      <c r="J82" s="14" t="s">
        <v>195</v>
      </c>
      <c r="K82" s="13"/>
    </row>
    <row r="83" customFormat="false" ht="75" hidden="false" customHeight="true" outlineLevel="0" collapsed="false">
      <c r="B83" s="16" t="s">
        <v>385</v>
      </c>
      <c r="C83" s="17" t="s">
        <v>386</v>
      </c>
      <c r="D83" s="6" t="s">
        <v>327</v>
      </c>
      <c r="E83" s="16" t="s">
        <v>53</v>
      </c>
      <c r="F83" s="17" t="s">
        <v>387</v>
      </c>
      <c r="G83" s="16" t="s">
        <v>134</v>
      </c>
      <c r="H83" s="17" t="s">
        <v>388</v>
      </c>
      <c r="I83" s="16" t="s">
        <v>68</v>
      </c>
      <c r="J83" s="17" t="s">
        <v>195</v>
      </c>
      <c r="K83" s="16"/>
    </row>
    <row r="84" customFormat="false" ht="75" hidden="false" customHeight="true" outlineLevel="0" collapsed="false">
      <c r="B84" s="13" t="s">
        <v>389</v>
      </c>
      <c r="C84" s="14" t="s">
        <v>390</v>
      </c>
      <c r="D84" s="15" t="s">
        <v>327</v>
      </c>
      <c r="E84" s="13" t="s">
        <v>53</v>
      </c>
      <c r="F84" s="14" t="s">
        <v>391</v>
      </c>
      <c r="G84" s="13" t="s">
        <v>66</v>
      </c>
      <c r="H84" s="14" t="s">
        <v>392</v>
      </c>
      <c r="I84" s="13" t="s">
        <v>57</v>
      </c>
      <c r="J84" s="14" t="s">
        <v>393</v>
      </c>
      <c r="K84" s="13"/>
    </row>
    <row r="85" customFormat="false" ht="75" hidden="false" customHeight="true" outlineLevel="0" collapsed="false">
      <c r="B85" s="16" t="s">
        <v>394</v>
      </c>
      <c r="C85" s="17" t="s">
        <v>395</v>
      </c>
      <c r="D85" s="6" t="s">
        <v>327</v>
      </c>
      <c r="E85" s="16" t="s">
        <v>53</v>
      </c>
      <c r="F85" s="17" t="s">
        <v>396</v>
      </c>
      <c r="G85" s="16" t="s">
        <v>55</v>
      </c>
      <c r="H85" s="17" t="s">
        <v>397</v>
      </c>
      <c r="I85" s="16" t="s">
        <v>57</v>
      </c>
      <c r="J85" s="17" t="s">
        <v>398</v>
      </c>
      <c r="K85" s="16"/>
    </row>
    <row r="86" customFormat="false" ht="75" hidden="false" customHeight="true" outlineLevel="0" collapsed="false">
      <c r="B86" s="13" t="s">
        <v>399</v>
      </c>
      <c r="C86" s="14" t="s">
        <v>400</v>
      </c>
      <c r="D86" s="15" t="s">
        <v>327</v>
      </c>
      <c r="E86" s="13" t="s">
        <v>53</v>
      </c>
      <c r="F86" s="14" t="s">
        <v>401</v>
      </c>
      <c r="G86" s="13" t="s">
        <v>134</v>
      </c>
      <c r="H86" s="14" t="s">
        <v>402</v>
      </c>
      <c r="I86" s="13" t="s">
        <v>68</v>
      </c>
      <c r="J86" s="14" t="s">
        <v>393</v>
      </c>
      <c r="K86" s="13"/>
    </row>
    <row r="87" customFormat="false" ht="75" hidden="false" customHeight="true" outlineLevel="0" collapsed="false">
      <c r="B87" s="16" t="s">
        <v>403</v>
      </c>
      <c r="C87" s="17" t="s">
        <v>404</v>
      </c>
      <c r="D87" s="6" t="s">
        <v>327</v>
      </c>
      <c r="E87" s="16" t="s">
        <v>53</v>
      </c>
      <c r="F87" s="17" t="s">
        <v>405</v>
      </c>
      <c r="G87" s="16" t="s">
        <v>66</v>
      </c>
      <c r="H87" s="17" t="s">
        <v>406</v>
      </c>
      <c r="I87" s="16" t="s">
        <v>68</v>
      </c>
      <c r="J87" s="17" t="s">
        <v>130</v>
      </c>
      <c r="K87" s="16"/>
    </row>
    <row r="88" customFormat="false" ht="75" hidden="false" customHeight="true" outlineLevel="0" collapsed="false">
      <c r="B88" s="13" t="s">
        <v>407</v>
      </c>
      <c r="C88" s="14" t="s">
        <v>408</v>
      </c>
      <c r="D88" s="15" t="s">
        <v>327</v>
      </c>
      <c r="E88" s="13" t="s">
        <v>53</v>
      </c>
      <c r="F88" s="14" t="s">
        <v>409</v>
      </c>
      <c r="G88" s="13" t="s">
        <v>66</v>
      </c>
      <c r="H88" s="14" t="s">
        <v>410</v>
      </c>
      <c r="I88" s="13" t="s">
        <v>68</v>
      </c>
      <c r="J88" s="14" t="s">
        <v>366</v>
      </c>
      <c r="K88" s="13"/>
    </row>
    <row r="89" customFormat="false" ht="75" hidden="false" customHeight="true" outlineLevel="0" collapsed="false">
      <c r="B89" s="16" t="s">
        <v>411</v>
      </c>
      <c r="C89" s="17" t="s">
        <v>412</v>
      </c>
      <c r="D89" s="6" t="s">
        <v>327</v>
      </c>
      <c r="E89" s="16" t="s">
        <v>53</v>
      </c>
      <c r="F89" s="17" t="s">
        <v>413</v>
      </c>
      <c r="G89" s="16" t="s">
        <v>134</v>
      </c>
      <c r="H89" s="17" t="s">
        <v>414</v>
      </c>
      <c r="I89" s="16" t="s">
        <v>68</v>
      </c>
      <c r="J89" s="17" t="s">
        <v>415</v>
      </c>
      <c r="K89" s="16"/>
    </row>
    <row r="90" customFormat="false" ht="75" hidden="false" customHeight="true" outlineLevel="0" collapsed="false">
      <c r="B90" s="13" t="s">
        <v>416</v>
      </c>
      <c r="C90" s="14" t="s">
        <v>417</v>
      </c>
      <c r="D90" s="15" t="s">
        <v>327</v>
      </c>
      <c r="E90" s="13" t="s">
        <v>53</v>
      </c>
      <c r="F90" s="14" t="s">
        <v>418</v>
      </c>
      <c r="G90" s="13" t="s">
        <v>66</v>
      </c>
      <c r="H90" s="14" t="s">
        <v>419</v>
      </c>
      <c r="I90" s="13" t="s">
        <v>68</v>
      </c>
      <c r="J90" s="14" t="s">
        <v>420</v>
      </c>
      <c r="K90" s="13"/>
    </row>
    <row r="91" customFormat="false" ht="75" hidden="false" customHeight="true" outlineLevel="0" collapsed="false">
      <c r="B91" s="16" t="s">
        <v>421</v>
      </c>
      <c r="C91" s="17" t="s">
        <v>422</v>
      </c>
      <c r="D91" s="6" t="s">
        <v>327</v>
      </c>
      <c r="E91" s="16" t="s">
        <v>53</v>
      </c>
      <c r="F91" s="17" t="s">
        <v>423</v>
      </c>
      <c r="G91" s="16" t="s">
        <v>134</v>
      </c>
      <c r="H91" s="17" t="s">
        <v>424</v>
      </c>
      <c r="I91" s="16" t="s">
        <v>68</v>
      </c>
      <c r="J91" s="17" t="s">
        <v>420</v>
      </c>
      <c r="K91" s="16"/>
    </row>
    <row r="92" customFormat="false" ht="75" hidden="false" customHeight="true" outlineLevel="0" collapsed="false">
      <c r="B92" s="13" t="s">
        <v>425</v>
      </c>
      <c r="C92" s="14" t="s">
        <v>426</v>
      </c>
      <c r="D92" s="15" t="s">
        <v>327</v>
      </c>
      <c r="E92" s="13" t="s">
        <v>53</v>
      </c>
      <c r="F92" s="14" t="s">
        <v>427</v>
      </c>
      <c r="G92" s="13" t="s">
        <v>66</v>
      </c>
      <c r="H92" s="14" t="s">
        <v>428</v>
      </c>
      <c r="I92" s="13" t="s">
        <v>68</v>
      </c>
      <c r="J92" s="14" t="s">
        <v>429</v>
      </c>
      <c r="K92" s="13"/>
    </row>
    <row r="93" customFormat="false" ht="75" hidden="false" customHeight="true" outlineLevel="0" collapsed="false">
      <c r="B93" s="16" t="s">
        <v>430</v>
      </c>
      <c r="C93" s="17" t="s">
        <v>431</v>
      </c>
      <c r="D93" s="6" t="s">
        <v>327</v>
      </c>
      <c r="E93" s="16" t="s">
        <v>53</v>
      </c>
      <c r="F93" s="17" t="s">
        <v>432</v>
      </c>
      <c r="G93" s="16" t="s">
        <v>134</v>
      </c>
      <c r="H93" s="17" t="s">
        <v>433</v>
      </c>
      <c r="I93" s="16" t="s">
        <v>68</v>
      </c>
      <c r="J93" s="17" t="s">
        <v>434</v>
      </c>
      <c r="K93" s="16"/>
    </row>
    <row r="94" customFormat="false" ht="75" hidden="false" customHeight="true" outlineLevel="0" collapsed="false">
      <c r="B94" s="13" t="s">
        <v>435</v>
      </c>
      <c r="C94" s="14" t="s">
        <v>436</v>
      </c>
      <c r="D94" s="15" t="s">
        <v>327</v>
      </c>
      <c r="E94" s="13" t="s">
        <v>53</v>
      </c>
      <c r="F94" s="14" t="s">
        <v>437</v>
      </c>
      <c r="G94" s="13" t="s">
        <v>55</v>
      </c>
      <c r="H94" s="14" t="s">
        <v>438</v>
      </c>
      <c r="I94" s="13" t="s">
        <v>68</v>
      </c>
      <c r="J94" s="14" t="s">
        <v>95</v>
      </c>
      <c r="K94" s="13"/>
    </row>
    <row r="95" customFormat="false" ht="75" hidden="false" customHeight="true" outlineLevel="0" collapsed="false">
      <c r="B95" s="16" t="s">
        <v>439</v>
      </c>
      <c r="C95" s="17" t="s">
        <v>440</v>
      </c>
      <c r="D95" s="6" t="s">
        <v>327</v>
      </c>
      <c r="E95" s="16" t="s">
        <v>53</v>
      </c>
      <c r="F95" s="17" t="s">
        <v>441</v>
      </c>
      <c r="G95" s="16" t="s">
        <v>55</v>
      </c>
      <c r="H95" s="17" t="s">
        <v>442</v>
      </c>
      <c r="I95" s="16" t="s">
        <v>68</v>
      </c>
      <c r="J95" s="17" t="s">
        <v>443</v>
      </c>
      <c r="K95" s="16"/>
    </row>
    <row r="96" customFormat="false" ht="75" hidden="false" customHeight="true" outlineLevel="0" collapsed="false">
      <c r="B96" s="13" t="s">
        <v>444</v>
      </c>
      <c r="C96" s="14" t="s">
        <v>445</v>
      </c>
      <c r="D96" s="15" t="s">
        <v>327</v>
      </c>
      <c r="E96" s="13" t="s">
        <v>53</v>
      </c>
      <c r="F96" s="14" t="s">
        <v>446</v>
      </c>
      <c r="G96" s="13" t="s">
        <v>66</v>
      </c>
      <c r="H96" s="14" t="s">
        <v>447</v>
      </c>
      <c r="I96" s="13" t="s">
        <v>68</v>
      </c>
      <c r="J96" s="14" t="s">
        <v>95</v>
      </c>
      <c r="K96" s="13"/>
    </row>
    <row r="97" customFormat="false" ht="75" hidden="false" customHeight="true" outlineLevel="0" collapsed="false">
      <c r="B97" s="16" t="s">
        <v>448</v>
      </c>
      <c r="C97" s="17" t="s">
        <v>449</v>
      </c>
      <c r="D97" s="6" t="s">
        <v>327</v>
      </c>
      <c r="E97" s="16" t="s">
        <v>53</v>
      </c>
      <c r="F97" s="17" t="s">
        <v>450</v>
      </c>
      <c r="G97" s="16" t="s">
        <v>66</v>
      </c>
      <c r="H97" s="17" t="s">
        <v>451</v>
      </c>
      <c r="I97" s="16" t="s">
        <v>68</v>
      </c>
      <c r="J97" s="17" t="s">
        <v>452</v>
      </c>
      <c r="K97" s="16"/>
    </row>
    <row r="98" customFormat="false" ht="75" hidden="false" customHeight="true" outlineLevel="0" collapsed="false">
      <c r="B98" s="13" t="s">
        <v>453</v>
      </c>
      <c r="C98" s="14" t="s">
        <v>454</v>
      </c>
      <c r="D98" s="15" t="s">
        <v>327</v>
      </c>
      <c r="E98" s="13" t="s">
        <v>53</v>
      </c>
      <c r="F98" s="14" t="s">
        <v>455</v>
      </c>
      <c r="G98" s="13" t="s">
        <v>66</v>
      </c>
      <c r="H98" s="14" t="s">
        <v>456</v>
      </c>
      <c r="I98" s="13" t="s">
        <v>68</v>
      </c>
      <c r="J98" s="14" t="s">
        <v>457</v>
      </c>
      <c r="K98" s="13"/>
    </row>
    <row r="99" customFormat="false" ht="75" hidden="false" customHeight="true" outlineLevel="0" collapsed="false">
      <c r="B99" s="16" t="s">
        <v>458</v>
      </c>
      <c r="C99" s="17" t="s">
        <v>459</v>
      </c>
      <c r="D99" s="6" t="s">
        <v>327</v>
      </c>
      <c r="E99" s="16" t="s">
        <v>53</v>
      </c>
      <c r="F99" s="17" t="s">
        <v>460</v>
      </c>
      <c r="G99" s="16" t="s">
        <v>66</v>
      </c>
      <c r="H99" s="17" t="s">
        <v>461</v>
      </c>
      <c r="I99" s="16" t="s">
        <v>68</v>
      </c>
      <c r="J99" s="17" t="s">
        <v>462</v>
      </c>
      <c r="K99" s="16"/>
    </row>
    <row r="100" customFormat="false" ht="75" hidden="false" customHeight="true" outlineLevel="0" collapsed="false">
      <c r="B100" s="13" t="s">
        <v>463</v>
      </c>
      <c r="C100" s="14" t="s">
        <v>464</v>
      </c>
      <c r="D100" s="15" t="s">
        <v>327</v>
      </c>
      <c r="E100" s="13" t="s">
        <v>53</v>
      </c>
      <c r="F100" s="14" t="s">
        <v>465</v>
      </c>
      <c r="G100" s="13" t="s">
        <v>134</v>
      </c>
      <c r="H100" s="14" t="s">
        <v>466</v>
      </c>
      <c r="I100" s="13" t="s">
        <v>68</v>
      </c>
      <c r="J100" s="14" t="s">
        <v>467</v>
      </c>
      <c r="K100" s="13"/>
    </row>
    <row r="101" customFormat="false" ht="75" hidden="false" customHeight="true" outlineLevel="0" collapsed="false">
      <c r="B101" s="16" t="s">
        <v>468</v>
      </c>
      <c r="C101" s="17" t="s">
        <v>469</v>
      </c>
      <c r="D101" s="6" t="s">
        <v>327</v>
      </c>
      <c r="E101" s="16" t="s">
        <v>53</v>
      </c>
      <c r="F101" s="17" t="s">
        <v>470</v>
      </c>
      <c r="G101" s="16" t="s">
        <v>66</v>
      </c>
      <c r="H101" s="17" t="s">
        <v>471</v>
      </c>
      <c r="I101" s="16" t="s">
        <v>68</v>
      </c>
      <c r="J101" s="17" t="s">
        <v>230</v>
      </c>
      <c r="K101" s="16"/>
    </row>
    <row r="102" customFormat="false" ht="75" hidden="false" customHeight="true" outlineLevel="0" collapsed="false">
      <c r="B102" s="13" t="s">
        <v>472</v>
      </c>
      <c r="C102" s="14" t="s">
        <v>473</v>
      </c>
      <c r="D102" s="15" t="s">
        <v>327</v>
      </c>
      <c r="E102" s="13" t="s">
        <v>53</v>
      </c>
      <c r="F102" s="14" t="s">
        <v>474</v>
      </c>
      <c r="G102" s="13" t="s">
        <v>66</v>
      </c>
      <c r="H102" s="14" t="s">
        <v>475</v>
      </c>
      <c r="I102" s="13" t="s">
        <v>68</v>
      </c>
      <c r="J102" s="14" t="s">
        <v>375</v>
      </c>
      <c r="K102" s="13"/>
    </row>
    <row r="103" customFormat="false" ht="75" hidden="false" customHeight="true" outlineLevel="0" collapsed="false">
      <c r="B103" s="16" t="s">
        <v>476</v>
      </c>
      <c r="C103" s="17" t="s">
        <v>477</v>
      </c>
      <c r="D103" s="6" t="s">
        <v>327</v>
      </c>
      <c r="E103" s="16" t="s">
        <v>53</v>
      </c>
      <c r="F103" s="17" t="s">
        <v>478</v>
      </c>
      <c r="G103" s="16" t="s">
        <v>55</v>
      </c>
      <c r="H103" s="17" t="s">
        <v>479</v>
      </c>
      <c r="I103" s="16" t="s">
        <v>57</v>
      </c>
      <c r="J103" s="17" t="s">
        <v>221</v>
      </c>
      <c r="K103" s="16"/>
    </row>
  </sheetData>
  <autoFilter ref="B6:K103"/>
  <mergeCells count="4">
    <mergeCell ref="B7:K7"/>
    <mergeCell ref="B45:K45"/>
    <mergeCell ref="B54:K54"/>
    <mergeCell ref="B69:K69"/>
  </mergeCells>
  <conditionalFormatting sqref="G7:G103">
    <cfRule type="cellIs" priority="2" operator="equal" aboveAverage="0" equalAverage="0" bottom="0" percent="0" rank="0" text="" dxfId="12">
      <formula>"Implemented"</formula>
    </cfRule>
    <cfRule type="cellIs" priority="3" operator="equal" aboveAverage="0" equalAverage="0" bottom="0" percent="0" rank="0" text="" dxfId="13">
      <formula>"Partially Implemented"</formula>
    </cfRule>
    <cfRule type="cellIs" priority="4" operator="equal" aboveAverage="0" equalAverage="0" bottom="0" percent="0" rank="0" text="" dxfId="14">
      <formula>"Planned"</formula>
    </cfRule>
    <cfRule type="cellIs" priority="5" operator="equal" aboveAverage="0" equalAverage="0" bottom="0" percent="0" rank="0" text="" dxfId="15">
      <formula>"Not Implemented"</formula>
    </cfRule>
  </conditionalFormatting>
  <conditionalFormatting sqref="E7:E103">
    <cfRule type="cellIs" priority="6" operator="equal" aboveAverage="0" equalAverage="0" bottom="0" percent="0" rank="0" text="" dxfId="12">
      <formula>"Y"</formula>
    </cfRule>
    <cfRule type="cellIs" priority="7" operator="equal" aboveAverage="0" equalAverage="0" bottom="0" percent="0" rank="0" text="" dxfId="15">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50"/>
    <col collapsed="false" customWidth="true" hidden="false" outlineLevel="0" max="4" min="4" style="0" width="14"/>
    <col collapsed="false" customWidth="true" hidden="false" outlineLevel="0" max="5" min="5" style="0" width="10"/>
    <col collapsed="false" customWidth="true" hidden="false" outlineLevel="0" max="6" min="6" style="0" width="14"/>
  </cols>
  <sheetData>
    <row r="2" customFormat="false" ht="27.75" hidden="false" customHeight="true" outlineLevel="0" collapsed="false">
      <c r="B2" s="1" t="s">
        <v>480</v>
      </c>
      <c r="C2" s="1"/>
      <c r="D2" s="1"/>
      <c r="E2" s="1"/>
      <c r="F2" s="1"/>
    </row>
    <row r="3" customFormat="false" ht="18" hidden="false" customHeight="true" outlineLevel="0" collapsed="false">
      <c r="B3" s="18" t="s">
        <v>481</v>
      </c>
      <c r="C3" s="18"/>
      <c r="D3" s="18"/>
      <c r="E3" s="18"/>
      <c r="F3" s="18"/>
    </row>
    <row r="5" customFormat="false" ht="25.5" hidden="false" customHeight="true" outlineLevel="0" collapsed="false">
      <c r="B5" s="8" t="s">
        <v>482</v>
      </c>
      <c r="C5" s="8" t="s">
        <v>4</v>
      </c>
      <c r="D5" s="8" t="s">
        <v>483</v>
      </c>
      <c r="E5" s="8" t="s">
        <v>46</v>
      </c>
      <c r="F5" s="8" t="s">
        <v>484</v>
      </c>
    </row>
    <row r="6" customFormat="false" ht="21.75" hidden="false" customHeight="true" outlineLevel="0" collapsed="false">
      <c r="B6" s="19" t="s">
        <v>485</v>
      </c>
      <c r="C6" s="6" t="s">
        <v>486</v>
      </c>
      <c r="D6" s="6" t="s">
        <v>487</v>
      </c>
      <c r="E6" s="20" t="s">
        <v>57</v>
      </c>
      <c r="F6" s="6"/>
    </row>
    <row r="7" customFormat="false" ht="21.75" hidden="false" customHeight="true" outlineLevel="0" collapsed="false">
      <c r="B7" s="21" t="s">
        <v>488</v>
      </c>
      <c r="C7" s="15" t="s">
        <v>489</v>
      </c>
      <c r="D7" s="15" t="s">
        <v>487</v>
      </c>
      <c r="E7" s="22" t="s">
        <v>57</v>
      </c>
      <c r="F7" s="15"/>
    </row>
    <row r="8" customFormat="false" ht="21.75" hidden="false" customHeight="true" outlineLevel="0" collapsed="false">
      <c r="B8" s="19" t="s">
        <v>490</v>
      </c>
      <c r="C8" s="6" t="s">
        <v>491</v>
      </c>
      <c r="D8" s="6" t="s">
        <v>487</v>
      </c>
      <c r="E8" s="20" t="s">
        <v>57</v>
      </c>
      <c r="F8" s="6"/>
    </row>
    <row r="9" customFormat="false" ht="21.75" hidden="false" customHeight="true" outlineLevel="0" collapsed="false">
      <c r="B9" s="21" t="s">
        <v>492</v>
      </c>
      <c r="C9" s="15" t="s">
        <v>493</v>
      </c>
      <c r="D9" s="15" t="s">
        <v>487</v>
      </c>
      <c r="E9" s="22" t="s">
        <v>57</v>
      </c>
      <c r="F9" s="15"/>
    </row>
    <row r="10" customFormat="false" ht="21.75" hidden="false" customHeight="true" outlineLevel="0" collapsed="false">
      <c r="B10" s="19" t="s">
        <v>494</v>
      </c>
      <c r="C10" s="6" t="s">
        <v>495</v>
      </c>
      <c r="D10" s="6" t="s">
        <v>487</v>
      </c>
      <c r="E10" s="20" t="s">
        <v>57</v>
      </c>
      <c r="F10" s="6"/>
    </row>
    <row r="11" customFormat="false" ht="21.75" hidden="false" customHeight="true" outlineLevel="0" collapsed="false">
      <c r="B11" s="21" t="s">
        <v>496</v>
      </c>
      <c r="C11" s="15" t="s">
        <v>497</v>
      </c>
      <c r="D11" s="15" t="s">
        <v>487</v>
      </c>
      <c r="E11" s="22" t="s">
        <v>57</v>
      </c>
      <c r="F11" s="15"/>
    </row>
    <row r="12" customFormat="false" ht="21.75" hidden="false" customHeight="true" outlineLevel="0" collapsed="false">
      <c r="B12" s="19" t="s">
        <v>498</v>
      </c>
      <c r="C12" s="6" t="s">
        <v>499</v>
      </c>
      <c r="D12" s="6" t="s">
        <v>487</v>
      </c>
      <c r="E12" s="20" t="s">
        <v>68</v>
      </c>
      <c r="F12" s="6"/>
    </row>
    <row r="13" customFormat="false" ht="21.75" hidden="false" customHeight="true" outlineLevel="0" collapsed="false">
      <c r="B13" s="21" t="s">
        <v>500</v>
      </c>
      <c r="C13" s="15" t="s">
        <v>501</v>
      </c>
      <c r="D13" s="15" t="s">
        <v>487</v>
      </c>
      <c r="E13" s="22" t="s">
        <v>154</v>
      </c>
      <c r="F13" s="15"/>
    </row>
    <row r="14" customFormat="false" ht="21.75" hidden="false" customHeight="true" outlineLevel="0" collapsed="false">
      <c r="B14" s="19" t="s">
        <v>502</v>
      </c>
      <c r="C14" s="6" t="s">
        <v>503</v>
      </c>
      <c r="D14" s="6" t="s">
        <v>487</v>
      </c>
      <c r="E14" s="20" t="s">
        <v>79</v>
      </c>
      <c r="F14" s="6"/>
    </row>
    <row r="15" customFormat="false" ht="21.75" hidden="false" customHeight="true" outlineLevel="0" collapsed="false">
      <c r="B15" s="21" t="s">
        <v>504</v>
      </c>
      <c r="C15" s="15" t="s">
        <v>505</v>
      </c>
      <c r="D15" s="15" t="s">
        <v>487</v>
      </c>
      <c r="E15" s="22" t="s">
        <v>79</v>
      </c>
      <c r="F15" s="15"/>
    </row>
    <row r="16" customFormat="false" ht="21.75" hidden="false" customHeight="true" outlineLevel="0" collapsed="false">
      <c r="B16" s="19" t="s">
        <v>506</v>
      </c>
      <c r="C16" s="6" t="s">
        <v>507</v>
      </c>
      <c r="D16" s="6" t="s">
        <v>487</v>
      </c>
      <c r="E16" s="20" t="s">
        <v>110</v>
      </c>
      <c r="F16" s="6"/>
    </row>
    <row r="17" customFormat="false" ht="21.75" hidden="false" customHeight="true" outlineLevel="0" collapsed="false">
      <c r="B17" s="21" t="s">
        <v>508</v>
      </c>
      <c r="C17" s="15" t="s">
        <v>509</v>
      </c>
      <c r="D17" s="15" t="s">
        <v>487</v>
      </c>
      <c r="E17" s="22" t="s">
        <v>57</v>
      </c>
      <c r="F17" s="15"/>
    </row>
    <row r="18" customFormat="false" ht="21.75" hidden="false" customHeight="true" outlineLevel="0" collapsed="false">
      <c r="B18" s="19" t="s">
        <v>510</v>
      </c>
      <c r="C18" s="6" t="s">
        <v>511</v>
      </c>
      <c r="D18" s="6" t="s">
        <v>487</v>
      </c>
      <c r="E18" s="20" t="s">
        <v>57</v>
      </c>
      <c r="F18" s="6"/>
    </row>
    <row r="19" customFormat="false" ht="21.75" hidden="false" customHeight="true" outlineLevel="0" collapsed="false">
      <c r="B19" s="21" t="s">
        <v>512</v>
      </c>
      <c r="C19" s="15" t="s">
        <v>513</v>
      </c>
      <c r="D19" s="15" t="s">
        <v>22</v>
      </c>
      <c r="E19" s="22" t="s">
        <v>68</v>
      </c>
      <c r="F19" s="15"/>
    </row>
    <row r="20" customFormat="false" ht="21.75" hidden="false" customHeight="true" outlineLevel="0" collapsed="false">
      <c r="B20" s="19" t="s">
        <v>514</v>
      </c>
      <c r="C20" s="6" t="s">
        <v>515</v>
      </c>
      <c r="D20" s="6" t="s">
        <v>487</v>
      </c>
      <c r="E20" s="20" t="s">
        <v>68</v>
      </c>
      <c r="F20" s="6"/>
    </row>
    <row r="21" customFormat="false" ht="21.75" hidden="false" customHeight="true" outlineLevel="0" collapsed="false">
      <c r="B21" s="21" t="s">
        <v>516</v>
      </c>
      <c r="C21" s="15" t="s">
        <v>517</v>
      </c>
      <c r="D21" s="15" t="s">
        <v>22</v>
      </c>
      <c r="E21" s="22" t="s">
        <v>68</v>
      </c>
      <c r="F21" s="15"/>
    </row>
    <row r="22" customFormat="false" ht="21.75" hidden="false" customHeight="true" outlineLevel="0" collapsed="false">
      <c r="B22" s="19" t="s">
        <v>518</v>
      </c>
      <c r="C22" s="6" t="s">
        <v>519</v>
      </c>
      <c r="D22" s="6" t="s">
        <v>22</v>
      </c>
      <c r="E22" s="20" t="s">
        <v>57</v>
      </c>
      <c r="F22" s="6"/>
    </row>
    <row r="23" customFormat="false" ht="21.75" hidden="false" customHeight="true" outlineLevel="0" collapsed="false">
      <c r="B23" s="21" t="s">
        <v>520</v>
      </c>
      <c r="C23" s="15" t="s">
        <v>521</v>
      </c>
      <c r="D23" s="15" t="s">
        <v>487</v>
      </c>
      <c r="E23" s="22" t="s">
        <v>68</v>
      </c>
      <c r="F23" s="15"/>
    </row>
    <row r="24" customFormat="false" ht="21.75" hidden="false" customHeight="true" outlineLevel="0" collapsed="false">
      <c r="B24" s="19" t="s">
        <v>522</v>
      </c>
      <c r="C24" s="6" t="s">
        <v>523</v>
      </c>
      <c r="D24" s="6" t="s">
        <v>22</v>
      </c>
      <c r="E24" s="20" t="s">
        <v>57</v>
      </c>
      <c r="F24" s="6"/>
    </row>
    <row r="25" customFormat="false" ht="21.75" hidden="false" customHeight="true" outlineLevel="0" collapsed="false">
      <c r="B25" s="21" t="s">
        <v>524</v>
      </c>
      <c r="C25" s="15" t="s">
        <v>525</v>
      </c>
      <c r="D25" s="15" t="s">
        <v>22</v>
      </c>
      <c r="E25" s="22" t="s">
        <v>57</v>
      </c>
      <c r="F25" s="15"/>
    </row>
    <row r="26" customFormat="false" ht="21.75" hidden="false" customHeight="true" outlineLevel="0" collapsed="false">
      <c r="B26" s="19" t="s">
        <v>526</v>
      </c>
      <c r="C26" s="6" t="s">
        <v>527</v>
      </c>
      <c r="D26" s="6" t="s">
        <v>487</v>
      </c>
      <c r="E26" s="20" t="s">
        <v>68</v>
      </c>
      <c r="F26" s="6"/>
    </row>
    <row r="27" customFormat="false" ht="21.75" hidden="false" customHeight="true" outlineLevel="0" collapsed="false">
      <c r="B27" s="21" t="s">
        <v>528</v>
      </c>
      <c r="C27" s="15" t="s">
        <v>529</v>
      </c>
      <c r="D27" s="15" t="s">
        <v>22</v>
      </c>
      <c r="E27" s="22" t="s">
        <v>68</v>
      </c>
      <c r="F27" s="15"/>
    </row>
    <row r="28" customFormat="false" ht="21.75" hidden="false" customHeight="true" outlineLevel="0" collapsed="false">
      <c r="B28" s="19" t="s">
        <v>530</v>
      </c>
      <c r="C28" s="6" t="s">
        <v>531</v>
      </c>
      <c r="D28" s="6" t="s">
        <v>487</v>
      </c>
      <c r="E28" s="20" t="s">
        <v>68</v>
      </c>
      <c r="F28" s="6"/>
    </row>
    <row r="29" customFormat="false" ht="21.75" hidden="false" customHeight="true" outlineLevel="0" collapsed="false">
      <c r="B29" s="21" t="s">
        <v>532</v>
      </c>
      <c r="C29" s="15" t="s">
        <v>533</v>
      </c>
      <c r="D29" s="15" t="s">
        <v>22</v>
      </c>
      <c r="E29" s="22" t="s">
        <v>68</v>
      </c>
      <c r="F29" s="15"/>
    </row>
    <row r="30" customFormat="false" ht="21.75" hidden="false" customHeight="true" outlineLevel="0" collapsed="false">
      <c r="B30" s="19" t="s">
        <v>534</v>
      </c>
      <c r="C30" s="6" t="s">
        <v>535</v>
      </c>
      <c r="D30" s="6" t="s">
        <v>487</v>
      </c>
      <c r="E30" s="20" t="s">
        <v>68</v>
      </c>
      <c r="F30" s="6"/>
    </row>
    <row r="31" customFormat="false" ht="21.75" hidden="false" customHeight="true" outlineLevel="0" collapsed="false">
      <c r="B31" s="21" t="s">
        <v>536</v>
      </c>
      <c r="C31" s="15" t="s">
        <v>537</v>
      </c>
      <c r="D31" s="15" t="s">
        <v>538</v>
      </c>
      <c r="E31" s="22" t="s">
        <v>57</v>
      </c>
      <c r="F31" s="15"/>
    </row>
    <row r="32" customFormat="false" ht="21.75" hidden="false" customHeight="true" outlineLevel="0" collapsed="false">
      <c r="B32" s="19" t="s">
        <v>539</v>
      </c>
      <c r="C32" s="6" t="s">
        <v>540</v>
      </c>
      <c r="D32" s="6" t="s">
        <v>538</v>
      </c>
      <c r="E32" s="20" t="s">
        <v>57</v>
      </c>
      <c r="F32" s="6"/>
    </row>
    <row r="33" customFormat="false" ht="21.75" hidden="false" customHeight="true" outlineLevel="0" collapsed="false">
      <c r="B33" s="21" t="s">
        <v>541</v>
      </c>
      <c r="C33" s="15" t="s">
        <v>542</v>
      </c>
      <c r="D33" s="15" t="s">
        <v>538</v>
      </c>
      <c r="E33" s="22" t="s">
        <v>68</v>
      </c>
      <c r="F33" s="15"/>
    </row>
    <row r="34" customFormat="false" ht="21.75" hidden="false" customHeight="true" outlineLevel="0" collapsed="false">
      <c r="B34" s="19" t="s">
        <v>543</v>
      </c>
      <c r="C34" s="6" t="s">
        <v>544</v>
      </c>
      <c r="D34" s="6" t="s">
        <v>545</v>
      </c>
      <c r="E34" s="20" t="s">
        <v>110</v>
      </c>
      <c r="F34" s="6"/>
    </row>
    <row r="35" customFormat="false" ht="21.75" hidden="false" customHeight="true" outlineLevel="0" collapsed="false">
      <c r="B35" s="21" t="s">
        <v>546</v>
      </c>
      <c r="C35" s="15" t="s">
        <v>547</v>
      </c>
      <c r="D35" s="15" t="s">
        <v>545</v>
      </c>
      <c r="E35" s="22" t="s">
        <v>110</v>
      </c>
      <c r="F35" s="15"/>
    </row>
    <row r="36" customFormat="false" ht="21.75" hidden="false" customHeight="true" outlineLevel="0" collapsed="false">
      <c r="B36" s="19" t="s">
        <v>548</v>
      </c>
      <c r="C36" s="6" t="s">
        <v>549</v>
      </c>
      <c r="D36" s="6" t="s">
        <v>545</v>
      </c>
      <c r="E36" s="20" t="s">
        <v>57</v>
      </c>
      <c r="F36" s="6"/>
    </row>
    <row r="37" customFormat="false" ht="21.75" hidden="false" customHeight="true" outlineLevel="0" collapsed="false">
      <c r="B37" s="21" t="s">
        <v>550</v>
      </c>
      <c r="C37" s="15" t="s">
        <v>551</v>
      </c>
      <c r="D37" s="15" t="s">
        <v>545</v>
      </c>
      <c r="E37" s="22" t="s">
        <v>68</v>
      </c>
      <c r="F37" s="15"/>
    </row>
    <row r="38" customFormat="false" ht="21.75" hidden="false" customHeight="true" outlineLevel="0" collapsed="false">
      <c r="B38" s="19" t="s">
        <v>552</v>
      </c>
      <c r="C38" s="6" t="s">
        <v>553</v>
      </c>
      <c r="D38" s="6" t="s">
        <v>545</v>
      </c>
      <c r="E38" s="20" t="s">
        <v>68</v>
      </c>
      <c r="F38" s="6"/>
    </row>
    <row r="39" customFormat="false" ht="21.75" hidden="false" customHeight="true" outlineLevel="0" collapsed="false">
      <c r="B39" s="21" t="s">
        <v>554</v>
      </c>
      <c r="C39" s="15" t="s">
        <v>555</v>
      </c>
      <c r="D39" s="15" t="s">
        <v>545</v>
      </c>
      <c r="E39" s="22" t="s">
        <v>57</v>
      </c>
      <c r="F39" s="15"/>
    </row>
    <row r="40" customFormat="false" ht="21.75" hidden="false" customHeight="true" outlineLevel="0" collapsed="false">
      <c r="B40" s="19" t="s">
        <v>556</v>
      </c>
      <c r="C40" s="6" t="s">
        <v>557</v>
      </c>
      <c r="D40" s="6" t="s">
        <v>545</v>
      </c>
      <c r="E40" s="20" t="s">
        <v>79</v>
      </c>
      <c r="F40" s="6"/>
    </row>
    <row r="41" customFormat="false" ht="21.75" hidden="false" customHeight="true" outlineLevel="0" collapsed="false">
      <c r="B41" s="21" t="s">
        <v>558</v>
      </c>
      <c r="C41" s="15" t="s">
        <v>559</v>
      </c>
      <c r="D41" s="15" t="s">
        <v>545</v>
      </c>
      <c r="E41" s="22" t="s">
        <v>57</v>
      </c>
      <c r="F41" s="15"/>
    </row>
    <row r="42" customFormat="false" ht="21.75" hidden="false" customHeight="true" outlineLevel="0" collapsed="false">
      <c r="B42" s="19" t="s">
        <v>560</v>
      </c>
      <c r="C42" s="6" t="s">
        <v>561</v>
      </c>
      <c r="D42" s="6" t="s">
        <v>545</v>
      </c>
      <c r="E42" s="20" t="s">
        <v>57</v>
      </c>
      <c r="F42" s="6"/>
    </row>
    <row r="43" customFormat="false" ht="21.75" hidden="false" customHeight="true" outlineLevel="0" collapsed="false">
      <c r="B43" s="21" t="s">
        <v>562</v>
      </c>
      <c r="C43" s="15" t="s">
        <v>563</v>
      </c>
      <c r="D43" s="15" t="s">
        <v>545</v>
      </c>
      <c r="E43" s="22" t="s">
        <v>57</v>
      </c>
      <c r="F43" s="15"/>
    </row>
    <row r="44" customFormat="false" ht="21.75" hidden="false" customHeight="true" outlineLevel="0" collapsed="false">
      <c r="B44" s="19" t="s">
        <v>564</v>
      </c>
      <c r="C44" s="6" t="s">
        <v>565</v>
      </c>
      <c r="D44" s="6" t="s">
        <v>545</v>
      </c>
      <c r="E44" s="20" t="s">
        <v>57</v>
      </c>
      <c r="F44" s="6"/>
    </row>
    <row r="45" customFormat="false" ht="21.75" hidden="false" customHeight="true" outlineLevel="0" collapsed="false">
      <c r="B45" s="21" t="s">
        <v>566</v>
      </c>
      <c r="C45" s="15" t="s">
        <v>567</v>
      </c>
      <c r="D45" s="15" t="s">
        <v>545</v>
      </c>
      <c r="E45" s="22" t="s">
        <v>68</v>
      </c>
      <c r="F45" s="15"/>
    </row>
    <row r="46" customFormat="false" ht="21.75" hidden="false" customHeight="true" outlineLevel="0" collapsed="false">
      <c r="B46" s="19" t="s">
        <v>568</v>
      </c>
      <c r="C46" s="6" t="s">
        <v>569</v>
      </c>
      <c r="D46" s="6" t="s">
        <v>545</v>
      </c>
      <c r="E46" s="20" t="s">
        <v>68</v>
      </c>
      <c r="F46" s="6"/>
    </row>
    <row r="47" customFormat="false" ht="21.75" hidden="false" customHeight="true" outlineLevel="0" collapsed="false">
      <c r="B47" s="21" t="s">
        <v>570</v>
      </c>
      <c r="C47" s="15" t="s">
        <v>571</v>
      </c>
      <c r="D47" s="15" t="s">
        <v>545</v>
      </c>
      <c r="E47" s="22" t="s">
        <v>57</v>
      </c>
      <c r="F47" s="15"/>
    </row>
    <row r="48" customFormat="false" ht="21.75" hidden="false" customHeight="true" outlineLevel="0" collapsed="false">
      <c r="B48" s="19" t="s">
        <v>572</v>
      </c>
      <c r="C48" s="6" t="s">
        <v>573</v>
      </c>
      <c r="D48" s="6" t="s">
        <v>574</v>
      </c>
      <c r="E48" s="20" t="s">
        <v>68</v>
      </c>
      <c r="F48" s="6"/>
    </row>
    <row r="49" customFormat="false" ht="21.75" hidden="false" customHeight="true" outlineLevel="0" collapsed="false">
      <c r="B49" s="21" t="s">
        <v>575</v>
      </c>
      <c r="C49" s="15" t="s">
        <v>576</v>
      </c>
      <c r="D49" s="15" t="s">
        <v>574</v>
      </c>
      <c r="E49" s="22" t="s">
        <v>79</v>
      </c>
      <c r="F49" s="15"/>
    </row>
    <row r="50" customFormat="false" ht="21.75" hidden="false" customHeight="true" outlineLevel="0" collapsed="false">
      <c r="B50" s="19" t="s">
        <v>577</v>
      </c>
      <c r="C50" s="6" t="s">
        <v>578</v>
      </c>
      <c r="D50" s="6" t="s">
        <v>574</v>
      </c>
      <c r="E50" s="20" t="s">
        <v>79</v>
      </c>
      <c r="F50" s="6"/>
    </row>
    <row r="51" customFormat="false" ht="21.75" hidden="false" customHeight="true" outlineLevel="0" collapsed="false">
      <c r="B51" s="21" t="s">
        <v>579</v>
      </c>
      <c r="C51" s="15" t="s">
        <v>580</v>
      </c>
      <c r="D51" s="15" t="s">
        <v>574</v>
      </c>
      <c r="E51" s="22" t="s">
        <v>79</v>
      </c>
      <c r="F51" s="15"/>
    </row>
    <row r="52" customFormat="false" ht="21.75" hidden="false" customHeight="true" outlineLevel="0" collapsed="false">
      <c r="B52" s="19" t="s">
        <v>581</v>
      </c>
      <c r="C52" s="6" t="s">
        <v>582</v>
      </c>
      <c r="D52" s="6" t="s">
        <v>574</v>
      </c>
      <c r="E52" s="20" t="s">
        <v>57</v>
      </c>
      <c r="F52" s="6"/>
    </row>
    <row r="53" customFormat="false" ht="21.75" hidden="false" customHeight="true" outlineLevel="0" collapsed="false">
      <c r="B53" s="21" t="s">
        <v>583</v>
      </c>
      <c r="C53" s="15" t="s">
        <v>584</v>
      </c>
      <c r="D53" s="15" t="s">
        <v>574</v>
      </c>
      <c r="E53" s="22" t="s">
        <v>79</v>
      </c>
      <c r="F53" s="15"/>
    </row>
    <row r="54" customFormat="false" ht="21.75" hidden="false" customHeight="true" outlineLevel="0" collapsed="false">
      <c r="B54" s="19" t="s">
        <v>585</v>
      </c>
      <c r="C54" s="6" t="s">
        <v>586</v>
      </c>
      <c r="D54" s="6" t="s">
        <v>587</v>
      </c>
      <c r="E54" s="20" t="s">
        <v>57</v>
      </c>
      <c r="F54" s="6"/>
    </row>
    <row r="55" customFormat="false" ht="21.75" hidden="false" customHeight="true" outlineLevel="0" collapsed="false">
      <c r="B55" s="21" t="s">
        <v>588</v>
      </c>
      <c r="C55" s="15" t="s">
        <v>589</v>
      </c>
      <c r="D55" s="15" t="s">
        <v>587</v>
      </c>
      <c r="E55" s="22" t="s">
        <v>57</v>
      </c>
      <c r="F55" s="15"/>
    </row>
    <row r="56" customFormat="false" ht="21.75" hidden="false" customHeight="true" outlineLevel="0" collapsed="false">
      <c r="B56" s="19" t="s">
        <v>590</v>
      </c>
      <c r="C56" s="6" t="s">
        <v>591</v>
      </c>
      <c r="D56" s="6" t="s">
        <v>587</v>
      </c>
      <c r="E56" s="20" t="s">
        <v>57</v>
      </c>
      <c r="F56" s="6"/>
    </row>
  </sheetData>
  <mergeCells count="2">
    <mergeCell ref="B2:F2"/>
    <mergeCell ref="B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2026-04-28T22:01:18Z</dcterms:created>
  <dc:creator>openpyxl</dc:creator>
  <dc:description/>
  <dc:language>en-US</dc:language>
  <cp:lastModifiedBy/>
  <dcterms:modified xsi:type="dcterms:W3CDTF">2026-04-28T22:01:18Z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